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Project\102. Send Email\"/>
    </mc:Choice>
  </mc:AlternateContent>
  <bookViews>
    <workbookView xWindow="0" yWindow="0" windowWidth="20490" windowHeight="7305"/>
  </bookViews>
  <sheets>
    <sheet name="Main" sheetId="1" r:id="rId1"/>
    <sheet name="EmailR" sheetId="2" r:id="rId2"/>
    <sheet name="BodyR" sheetId="3" r:id="rId3"/>
    <sheet name="EmailTH" sheetId="4" r:id="rId4"/>
    <sheet name="BodyTH" sheetId="5" r:id="rId5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" i="1" l="1"/>
  <c r="H8" i="1" s="1"/>
  <c r="D3" i="1"/>
  <c r="F2" i="2" l="1"/>
  <c r="B1" i="1"/>
  <c r="F2" i="4"/>
  <c r="D5" i="1"/>
  <c r="H2" i="2" l="1"/>
  <c r="H2" i="4"/>
</calcChain>
</file>

<file path=xl/comments1.xml><?xml version="1.0" encoding="utf-8"?>
<comments xmlns="http://schemas.openxmlformats.org/spreadsheetml/2006/main">
  <authors>
    <author>Muhammad Asyrul</author>
  </authors>
  <commentList>
    <comment ref="C2" authorId="0" shapeId="0">
      <text>
        <r>
          <rPr>
            <b/>
            <sz val="9"/>
            <color indexed="81"/>
            <rFont val="Tahoma"/>
            <family val="2"/>
          </rPr>
          <t>Muhammad Asyrul:</t>
        </r>
        <r>
          <rPr>
            <sz val="9"/>
            <color indexed="81"/>
            <rFont val="Tahoma"/>
            <family val="2"/>
          </rPr>
          <t xml:space="preserve">
Put value between 0 to 7 to indicate no. of days need to backdate.</t>
        </r>
      </text>
    </comment>
  </commentList>
</comments>
</file>

<file path=xl/sharedStrings.xml><?xml version="1.0" encoding="utf-8"?>
<sst xmlns="http://schemas.openxmlformats.org/spreadsheetml/2006/main" count="336" uniqueCount="100">
  <si>
    <t>To:</t>
  </si>
  <si>
    <t>CC:</t>
  </si>
  <si>
    <t>Subject:</t>
  </si>
  <si>
    <t>Ami Moris &lt;ami.moris@maybank-ib.com&gt;</t>
  </si>
  <si>
    <t>adam.sim@maybank-ib.com</t>
  </si>
  <si>
    <t>Mohd Fairuz Bin Abdul Aziz &lt;m.fairuz@maybank-ib.com&gt;</t>
  </si>
  <si>
    <t>Attachment</t>
  </si>
  <si>
    <t>Day</t>
  </si>
  <si>
    <t>Adjustment</t>
  </si>
  <si>
    <t>Date</t>
  </si>
  <si>
    <t>T</t>
  </si>
  <si>
    <t>T-1</t>
  </si>
  <si>
    <t>T-2</t>
  </si>
  <si>
    <t>Regional ECDG Daily Risk Report</t>
  </si>
  <si>
    <t>Report Date:</t>
  </si>
  <si>
    <t>USD/MYR =</t>
  </si>
  <si>
    <t>MYR/THB</t>
  </si>
  <si>
    <t>Sensitivity</t>
  </si>
  <si>
    <t>Summary</t>
  </si>
  <si>
    <t>MKEG</t>
  </si>
  <si>
    <t>MIBB</t>
  </si>
  <si>
    <t>MBB KL</t>
  </si>
  <si>
    <t>MKE TH</t>
  </si>
  <si>
    <t>MKES</t>
  </si>
  <si>
    <t>1-Day VaR (MYR)</t>
  </si>
  <si>
    <t xml:space="preserve">Total </t>
  </si>
  <si>
    <t>Limit</t>
  </si>
  <si>
    <t>Utilization (%)</t>
  </si>
  <si>
    <t>Exceed</t>
  </si>
  <si>
    <t>EC Vega Limit (MYR)</t>
  </si>
  <si>
    <t>EC Delta Percentage (MYR)</t>
  </si>
  <si>
    <t>FX NOP (USD)</t>
  </si>
  <si>
    <t xml:space="preserve">PV01 </t>
  </si>
  <si>
    <t>Total (USD)</t>
  </si>
  <si>
    <t>Total (MYR)</t>
  </si>
  <si>
    <t>Limit (USD)</t>
  </si>
  <si>
    <t>YTD P&amp;L (MYR)</t>
  </si>
  <si>
    <t>Realized</t>
  </si>
  <si>
    <t>Unrealized</t>
  </si>
  <si>
    <t>DoD</t>
  </si>
  <si>
    <t>MTD P&amp;L (MYR)</t>
  </si>
  <si>
    <t>**Swap delta will be monitored by Share Quantity under Granular. All swaps and their hedge quantity are matched.</t>
  </si>
  <si>
    <t>MIBB ECDG Trading Summary</t>
  </si>
  <si>
    <t>Total</t>
  </si>
  <si>
    <t>MM/Hedging Desk</t>
  </si>
  <si>
    <t>Delta 1 Desk</t>
  </si>
  <si>
    <t>**Swap delta will be monitored by Share Quantity under Granular. All swap's and it's hedge quantity are matched</t>
  </si>
  <si>
    <t>MBB KL ECDG Trading Summary</t>
  </si>
  <si>
    <t>TH ECDG daily report mark to market</t>
  </si>
  <si>
    <t>USD/THB</t>
  </si>
  <si>
    <t>1-Day VaR (THB)</t>
  </si>
  <si>
    <t>EC Vega Limit (THB)</t>
  </si>
  <si>
    <t>EC Delta Percentage (THB)</t>
  </si>
  <si>
    <t>YTD P&amp;L (THB)</t>
  </si>
  <si>
    <t>MTD P&amp;L (THB)</t>
  </si>
  <si>
    <t xml:space="preserve"> </t>
  </si>
  <si>
    <t>Structured Warrant</t>
  </si>
  <si>
    <t>OTC</t>
  </si>
  <si>
    <t/>
  </si>
  <si>
    <t>N/A</t>
  </si>
  <si>
    <t>Total (THB)</t>
  </si>
  <si>
    <t>Montree Sornpaisarn &lt;montree@maybank-ke.co.th&gt;</t>
  </si>
  <si>
    <t>Khajornkrich Sae Lee &lt;KHAJORNKRICH.S@MAYBANK-KE.CO.TH&gt;</t>
  </si>
  <si>
    <t xml:space="preserve"> Kritsayagul Kongchai &lt;KRITSAYAGUL.K@MAYBANK-KE.CO.TH&gt;</t>
  </si>
  <si>
    <t xml:space="preserve"> Pawittra Sathapanapong &lt;PAWITTRA.S@MAYBANK-KE.CO.TH&gt;</t>
  </si>
  <si>
    <t xml:space="preserve"> Chuchart Suratepin (Audit) &lt;chuchart.s@maybank-ke.co.th&gt;</t>
  </si>
  <si>
    <t xml:space="preserve"> Apiradee Yamsakul &lt;APIRADEE.Y@MAYBANK-KE.CO.TH&gt;</t>
  </si>
  <si>
    <t xml:space="preserve"> Saran Potewiratananond &lt;SARAN.P@MAYBANK-KE.CO.TH&gt;</t>
  </si>
  <si>
    <t xml:space="preserve"> Tharntip Inchan &lt;THARNTIP.I@MAYBANK-KE.CO.TH&gt;</t>
  </si>
  <si>
    <t xml:space="preserve"> Gamonphop Metaweranon &lt;GAMONPHOP.M@MAYBANK-KE.CO.TH&gt;</t>
  </si>
  <si>
    <t xml:space="preserve"> Poommiphat Rattanathammawong &lt;POOMMIPHAT.R@MAYBANK-KE.CO.TH&gt;</t>
  </si>
  <si>
    <t xml:space="preserve"> Mohd Fairuz Bin Abdul Aziz &lt;m.fairuz@maybank-ib.com&gt;</t>
  </si>
  <si>
    <t xml:space="preserve"> Alex Chow Chun Mun &lt;alex.chow@maybank-ib.com&gt;</t>
  </si>
  <si>
    <t xml:space="preserve"> Cheng Siew Ying &lt;cheryl.c@maybank.com&gt;</t>
  </si>
  <si>
    <t xml:space="preserve"> Yeo Ming Li &lt;mingli.y@maybank-ib.com&gt;</t>
  </si>
  <si>
    <t xml:space="preserve"> ECDG TRADING &lt;ECDG-TRADING@maybank-ib.com&gt;</t>
  </si>
  <si>
    <t xml:space="preserve"> Muizz Aiman Bin Farid &lt;muizz.farid@maybank-ib.com&gt;</t>
  </si>
  <si>
    <t xml:space="preserve"> Jacob Abraham A/L Thomas Rajan &lt;jacob@maybank.com&gt;</t>
  </si>
  <si>
    <t xml:space="preserve"> Watt Wing Hong &lt;whwatt@maybank.com&gt;</t>
  </si>
  <si>
    <t xml:space="preserve"> DR Watt Wing Hong &lt;whwatt@maybank.com.sg&gt;</t>
  </si>
  <si>
    <t xml:space="preserve"> Mohamad Yasin Bin Abdullah &lt;yasin@maybank-ib.com&gt;</t>
  </si>
  <si>
    <t xml:space="preserve"> Gilbert August Alfred Kohnke &lt;gilbert.k@maybank.com&gt;</t>
  </si>
  <si>
    <t xml:space="preserve"> Mazhatulshima Binti Mohd Zahid &lt;mazhatulshima@maybank-ib.com&gt;</t>
  </si>
  <si>
    <t xml:space="preserve"> Adrian Shee Siew Kee &lt;Adrian.shee@maybank.com&gt;</t>
  </si>
  <si>
    <t xml:space="preserve"> Abdul Azzahir Bin Azhar &lt;abdazzahir@maybank-ib.com&gt;</t>
  </si>
  <si>
    <t xml:space="preserve"> Lim Zee Yang &lt;zy.lim@maybank-ib.com&gt;</t>
  </si>
  <si>
    <t xml:space="preserve"> Claire Fu Chen Ying &lt;chenying.fu@maybank-ib.com&gt;</t>
  </si>
  <si>
    <t xml:space="preserve"> Koo Bee Lam &lt;beelam.k@maybank-ib.com&gt;</t>
  </si>
  <si>
    <t xml:space="preserve"> Mohd Rustam Bin Ramar Hatta &lt;rustam.r@maybank-ib.com&gt;</t>
  </si>
  <si>
    <t xml:space="preserve"> Loke Seng Onn &lt;sengonn.l@maybank-ib.com&gt;</t>
  </si>
  <si>
    <t xml:space="preserve"> Lee Chee Keng &lt;cheekeng.l@maybank.com&gt;</t>
  </si>
  <si>
    <t xml:space="preserve"> Chew Kew Yang &lt;kewyang.ch@maybank-ib.com&gt;</t>
  </si>
  <si>
    <t xml:space="preserve"> Rohaiza Binti Jaafar &lt;rohaiza.j@maybank.com&gt;</t>
  </si>
  <si>
    <t xml:space="preserve"> Noor Azreena Bt Zainal &lt;azreena.z@maybank.com&gt;</t>
  </si>
  <si>
    <t xml:space="preserve"> Chong Wai Fun &lt;sylvian.chong@maybank.com&gt;</t>
  </si>
  <si>
    <t xml:space="preserve"> Ong Ai Li &lt;ongaili@maybank.com&gt;</t>
  </si>
  <si>
    <t xml:space="preserve"> Joanne Kim Su Yin &lt;joanne.kim@maybank-ib.com&gt;</t>
  </si>
  <si>
    <t xml:space="preserve"> Arulananthan A/L Nanchappan &lt;arulananthan.n@maybank-ib.com&gt;</t>
  </si>
  <si>
    <t xml:space="preserve">Hi all, </t>
  </si>
  <si>
    <t>8/22/2019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</si>
</sst>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41" formatCode="_(* #,##0_);_(* \(#,##0\);_(* &quot;-&quot;_);_(@_)"/>
    <numFmt numFmtId="43" formatCode="_(* #,##0.00_);_(* \(#,##0.00\);_(* &quot;-&quot;??_);_(@_)"/>
    <numFmt numFmtId="164" formatCode="yyyymmdd"/>
    <numFmt numFmtId="165" formatCode="[$-409]d\-mmm\-yy;@"/>
    <numFmt numFmtId="166" formatCode="0.0000"/>
    <numFmt numFmtId="167" formatCode="0.0%"/>
    <numFmt numFmtId="168" formatCode="_-* #,##0_-;\-* #,##0_-;_-* &quot;-&quot;_-;_-@_-"/>
    <numFmt numFmtId="169" formatCode="_(* #,##0_);_(* \(#,##0\);_(* &quot;-&quot;??_);_(@_)"/>
    <numFmt numFmtId="170" formatCode="#,##0.0000;[Red]\-#,##0.0000"/>
    <numFmt numFmtId="171" formatCode="#,##0;[Red]\(#,##0\)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2"/>
      <color theme="1"/>
      <name val="Trebuchet MS"/>
      <family val="2"/>
    </font>
    <font>
      <sz val="10"/>
      <color theme="1"/>
      <name val="Trebuchet MS"/>
      <family val="2"/>
    </font>
    <font>
      <b/>
      <sz val="10"/>
      <color theme="1"/>
      <name val="Trebuchet MS"/>
      <family val="2"/>
    </font>
    <font>
      <sz val="10"/>
      <color theme="0"/>
      <name val="Trebuchet MS"/>
      <family val="2"/>
    </font>
    <font>
      <i/>
      <sz val="8"/>
      <color theme="1"/>
      <name val="Trebuchet MS"/>
      <family val="2"/>
    </font>
    <font>
      <sz val="10"/>
      <name val="Trebuchet MS"/>
      <family val="2"/>
    </font>
    <font>
      <sz val="8"/>
      <color theme="1"/>
      <name val="Trebuchet MS"/>
      <family val="2"/>
    </font>
    <font>
      <sz val="8"/>
      <name val="Trebuchet MS"/>
      <family val="2"/>
    </font>
    <font>
      <sz val="16"/>
      <color theme="1"/>
      <name val="Trebuchet MS"/>
      <family val="2"/>
    </font>
    <font>
      <sz val="10.5"/>
      <color rgb="FF000000"/>
      <name val="Trebuchet MS"/>
      <family val="2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mediumGray">
        <bgColor theme="9" tint="0.59999389629810485"/>
      </patternFill>
    </fill>
    <fill>
      <patternFill patternType="solid">
        <fgColor theme="9" tint="0.79998168889431442"/>
        <bgColor indexed="64"/>
      </patternFill>
    </fill>
    <fill>
      <patternFill patternType="mediumGray">
        <bgColor theme="9" tint="0.79998168889431442"/>
      </patternFill>
    </fill>
    <fill>
      <patternFill patternType="mediumGray">
        <bgColor theme="9" tint="0.79992065187536243"/>
      </patternFill>
    </fill>
    <fill>
      <patternFill patternType="mediumGray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123">
    <xf numFmtId="0" fontId="0" fillId="0" borderId="0" xfId="0"/>
    <xf numFmtId="0" fontId="3" fillId="2" borderId="0" xfId="0" applyFont="1" applyFill="1" applyAlignment="1">
      <alignment horizontal="center"/>
    </xf>
    <xf numFmtId="0" fontId="0" fillId="2" borderId="0" xfId="0" applyFill="1"/>
    <xf numFmtId="0" fontId="5" fillId="0" borderId="0" xfId="3"/>
    <xf numFmtId="0" fontId="4" fillId="3" borderId="0" xfId="0" applyFont="1" applyFill="1" applyAlignment="1">
      <alignment horizontal="center"/>
    </xf>
    <xf numFmtId="0" fontId="4" fillId="3" borderId="0" xfId="0" applyFont="1" applyFill="1"/>
    <xf numFmtId="0" fontId="0" fillId="4" borderId="0" xfId="0" applyFill="1" applyAlignment="1">
      <alignment horizontal="center"/>
    </xf>
    <xf numFmtId="0" fontId="0" fillId="5" borderId="0" xfId="0" applyFill="1" applyAlignment="1">
      <alignment horizontal="center"/>
    </xf>
    <xf numFmtId="164" fontId="0" fillId="4" borderId="0" xfId="0" applyNumberFormat="1" applyFill="1"/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0" fontId="8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40" fontId="9" fillId="0" borderId="0" xfId="0" applyNumberFormat="1" applyFont="1" applyAlignment="1">
      <alignment vertical="center"/>
    </xf>
    <xf numFmtId="0" fontId="10" fillId="0" borderId="0" xfId="0" applyFont="1" applyAlignment="1">
      <alignment vertical="center"/>
    </xf>
    <xf numFmtId="165" fontId="10" fillId="0" borderId="0" xfId="0" applyNumberFormat="1" applyFont="1" applyAlignment="1">
      <alignment vertical="center"/>
    </xf>
    <xf numFmtId="40" fontId="11" fillId="0" borderId="0" xfId="0" applyNumberFormat="1" applyFont="1" applyAlignment="1">
      <alignment vertical="center"/>
    </xf>
    <xf numFmtId="0" fontId="12" fillId="0" borderId="0" xfId="0" applyFont="1" applyAlignment="1">
      <alignment vertical="center"/>
    </xf>
    <xf numFmtId="166" fontId="9" fillId="0" borderId="0" xfId="0" applyNumberFormat="1" applyFont="1" applyAlignment="1">
      <alignment vertical="center"/>
    </xf>
    <xf numFmtId="0" fontId="10" fillId="3" borderId="1" xfId="0" applyFont="1" applyFill="1" applyBorder="1" applyAlignment="1">
      <alignment vertical="center" wrapText="1"/>
    </xf>
    <xf numFmtId="40" fontId="10" fillId="3" borderId="2" xfId="0" applyNumberFormat="1" applyFont="1" applyFill="1" applyBorder="1" applyAlignment="1">
      <alignment horizontal="center" vertical="center" wrapText="1"/>
    </xf>
    <xf numFmtId="0" fontId="9" fillId="0" borderId="1" xfId="0" applyFont="1" applyBorder="1" applyAlignment="1">
      <alignment horizontal="left" vertical="center"/>
    </xf>
    <xf numFmtId="0" fontId="9" fillId="0" borderId="3" xfId="0" applyFont="1" applyBorder="1" applyAlignment="1">
      <alignment horizontal="left" vertical="center"/>
    </xf>
    <xf numFmtId="41" fontId="9" fillId="6" borderId="1" xfId="1" applyNumberFormat="1" applyFont="1" applyFill="1" applyBorder="1" applyAlignment="1">
      <alignment horizontal="right" vertical="center"/>
    </xf>
    <xf numFmtId="41" fontId="9" fillId="7" borderId="1" xfId="1" applyNumberFormat="1" applyFont="1" applyFill="1" applyBorder="1" applyAlignment="1">
      <alignment horizontal="right" vertical="center"/>
    </xf>
    <xf numFmtId="0" fontId="9" fillId="0" borderId="4" xfId="0" applyFont="1" applyBorder="1" applyAlignment="1">
      <alignment horizontal="left" vertical="center"/>
    </xf>
    <xf numFmtId="41" fontId="9" fillId="6" borderId="4" xfId="1" applyNumberFormat="1" applyFont="1" applyFill="1" applyBorder="1" applyAlignment="1">
      <alignment horizontal="right" vertical="center"/>
    </xf>
    <xf numFmtId="41" fontId="9" fillId="7" borderId="4" xfId="1" applyNumberFormat="1" applyFont="1" applyFill="1" applyBorder="1" applyAlignment="1">
      <alignment horizontal="right" vertical="center"/>
    </xf>
    <xf numFmtId="167" fontId="9" fillId="6" borderId="4" xfId="2" applyNumberFormat="1" applyFont="1" applyFill="1" applyBorder="1" applyAlignment="1">
      <alignment horizontal="right" vertical="center"/>
    </xf>
    <xf numFmtId="167" fontId="9" fillId="7" borderId="4" xfId="2" applyNumberFormat="1" applyFont="1" applyFill="1" applyBorder="1" applyAlignment="1">
      <alignment horizontal="right" vertical="center"/>
    </xf>
    <xf numFmtId="41" fontId="9" fillId="6" borderId="5" xfId="1" applyNumberFormat="1" applyFont="1" applyFill="1" applyBorder="1" applyAlignment="1">
      <alignment horizontal="right" vertical="center"/>
    </xf>
    <xf numFmtId="41" fontId="9" fillId="8" borderId="5" xfId="1" applyNumberFormat="1" applyFont="1" applyFill="1" applyBorder="1" applyAlignment="1">
      <alignment horizontal="right" vertical="center"/>
    </xf>
    <xf numFmtId="41" fontId="9" fillId="8" borderId="1" xfId="1" applyNumberFormat="1" applyFont="1" applyFill="1" applyBorder="1" applyAlignment="1">
      <alignment horizontal="right" vertical="center"/>
    </xf>
    <xf numFmtId="41" fontId="9" fillId="6" borderId="4" xfId="1" applyNumberFormat="1" applyFont="1" applyFill="1" applyBorder="1" applyAlignment="1" applyProtection="1">
      <alignment horizontal="right" vertical="center"/>
      <protection locked="0"/>
    </xf>
    <xf numFmtId="41" fontId="9" fillId="7" borderId="4" xfId="1" applyNumberFormat="1" applyFont="1" applyFill="1" applyBorder="1" applyAlignment="1" applyProtection="1">
      <alignment horizontal="right" vertical="center"/>
      <protection locked="0"/>
    </xf>
    <xf numFmtId="41" fontId="9" fillId="8" borderId="4" xfId="1" applyNumberFormat="1" applyFont="1" applyFill="1" applyBorder="1" applyAlignment="1" applyProtection="1">
      <alignment horizontal="right" vertical="center"/>
      <protection locked="0"/>
    </xf>
    <xf numFmtId="167" fontId="9" fillId="8" borderId="4" xfId="2" applyNumberFormat="1" applyFont="1" applyFill="1" applyBorder="1" applyAlignment="1">
      <alignment horizontal="right" vertical="center"/>
    </xf>
    <xf numFmtId="0" fontId="9" fillId="0" borderId="6" xfId="0" applyFont="1" applyBorder="1" applyAlignment="1">
      <alignment horizontal="left" vertical="center"/>
    </xf>
    <xf numFmtId="41" fontId="9" fillId="6" borderId="6" xfId="1" applyNumberFormat="1" applyFont="1" applyFill="1" applyBorder="1" applyAlignment="1">
      <alignment horizontal="right" vertical="center"/>
    </xf>
    <xf numFmtId="41" fontId="9" fillId="7" borderId="6" xfId="1" applyNumberFormat="1" applyFont="1" applyFill="1" applyBorder="1" applyAlignment="1">
      <alignment horizontal="right" vertical="center"/>
    </xf>
    <xf numFmtId="41" fontId="9" fillId="8" borderId="6" xfId="1" applyNumberFormat="1" applyFont="1" applyFill="1" applyBorder="1" applyAlignment="1">
      <alignment horizontal="right" vertical="center"/>
    </xf>
    <xf numFmtId="41" fontId="9" fillId="7" borderId="4" xfId="1" applyNumberFormat="1" applyFont="1" applyFill="1" applyBorder="1" applyAlignment="1" applyProtection="1">
      <alignment horizontal="right" vertical="center" indent="2"/>
      <protection locked="0"/>
    </xf>
    <xf numFmtId="0" fontId="9" fillId="0" borderId="1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167" fontId="9" fillId="6" borderId="7" xfId="2" applyNumberFormat="1" applyFont="1" applyFill="1" applyBorder="1" applyAlignment="1">
      <alignment horizontal="right" vertical="center"/>
    </xf>
    <xf numFmtId="0" fontId="9" fillId="0" borderId="5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41" fontId="9" fillId="6" borderId="4" xfId="0" applyNumberFormat="1" applyFont="1" applyFill="1" applyBorder="1" applyAlignment="1">
      <alignment horizontal="right" vertical="center"/>
    </xf>
    <xf numFmtId="41" fontId="9" fillId="7" borderId="4" xfId="0" applyNumberFormat="1" applyFont="1" applyFill="1" applyBorder="1" applyAlignment="1">
      <alignment horizontal="right" vertical="center"/>
    </xf>
    <xf numFmtId="41" fontId="9" fillId="6" borderId="6" xfId="0" applyNumberFormat="1" applyFont="1" applyFill="1" applyBorder="1" applyAlignment="1">
      <alignment horizontal="right" vertical="center"/>
    </xf>
    <xf numFmtId="41" fontId="9" fillId="7" borderId="6" xfId="0" applyNumberFormat="1" applyFont="1" applyFill="1" applyBorder="1" applyAlignment="1">
      <alignment horizontal="right" vertical="center"/>
    </xf>
    <xf numFmtId="0" fontId="9" fillId="0" borderId="0" xfId="0" applyFont="1"/>
    <xf numFmtId="0" fontId="9" fillId="0" borderId="0" xfId="0" applyFont="1" applyFill="1" applyBorder="1" applyAlignment="1">
      <alignment horizontal="left" vertical="center"/>
    </xf>
    <xf numFmtId="168" fontId="9" fillId="0" borderId="0" xfId="1" applyNumberFormat="1" applyFont="1" applyFill="1" applyBorder="1" applyAlignment="1">
      <alignment horizontal="right" vertical="center"/>
    </xf>
    <xf numFmtId="40" fontId="10" fillId="0" borderId="0" xfId="0" applyNumberFormat="1" applyFont="1" applyFill="1" applyBorder="1" applyAlignment="1">
      <alignment horizontal="center" vertical="center" wrapText="1"/>
    </xf>
    <xf numFmtId="169" fontId="9" fillId="0" borderId="0" xfId="1" applyNumberFormat="1" applyFont="1" applyFill="1" applyBorder="1" applyAlignment="1">
      <alignment horizontal="right" vertical="center"/>
    </xf>
    <xf numFmtId="169" fontId="9" fillId="0" borderId="0" xfId="1" applyNumberFormat="1" applyFont="1" applyFill="1" applyBorder="1" applyAlignment="1" applyProtection="1">
      <alignment horizontal="right" vertical="center"/>
      <protection locked="0"/>
    </xf>
    <xf numFmtId="167" fontId="9" fillId="0" borderId="0" xfId="0" applyNumberFormat="1" applyFont="1" applyFill="1" applyBorder="1" applyAlignment="1">
      <alignment horizontal="right" vertical="center"/>
    </xf>
    <xf numFmtId="41" fontId="9" fillId="8" borderId="4" xfId="1" applyNumberFormat="1" applyFont="1" applyFill="1" applyBorder="1" applyAlignment="1">
      <alignment horizontal="right" vertical="center"/>
    </xf>
    <xf numFmtId="40" fontId="9" fillId="0" borderId="0" xfId="0" applyNumberFormat="1" applyFont="1"/>
    <xf numFmtId="40" fontId="9" fillId="0" borderId="0" xfId="0" applyNumberFormat="1" applyFont="1" applyBorder="1" applyAlignment="1">
      <alignment vertical="center"/>
    </xf>
    <xf numFmtId="0" fontId="10" fillId="3" borderId="2" xfId="0" applyFont="1" applyFill="1" applyBorder="1" applyAlignment="1">
      <alignment vertical="center" wrapText="1"/>
    </xf>
    <xf numFmtId="169" fontId="9" fillId="0" borderId="0" xfId="1" applyNumberFormat="1" applyFont="1" applyFill="1" applyBorder="1" applyAlignment="1">
      <alignment horizontal="center" vertical="center"/>
    </xf>
    <xf numFmtId="166" fontId="9" fillId="0" borderId="0" xfId="0" applyNumberFormat="1" applyFont="1" applyAlignment="1">
      <alignment horizontal="right" vertical="center"/>
    </xf>
    <xf numFmtId="170" fontId="9" fillId="0" borderId="0" xfId="0" applyNumberFormat="1" applyFont="1" applyAlignment="1">
      <alignment horizontal="right"/>
    </xf>
    <xf numFmtId="41" fontId="9" fillId="8" borderId="4" xfId="0" applyNumberFormat="1" applyFont="1" applyFill="1" applyBorder="1" applyAlignment="1">
      <alignment horizontal="right" vertical="center"/>
    </xf>
    <xf numFmtId="41" fontId="9" fillId="8" borderId="6" xfId="0" applyNumberFormat="1" applyFont="1" applyFill="1" applyBorder="1" applyAlignment="1">
      <alignment horizontal="right" vertical="center"/>
    </xf>
    <xf numFmtId="43" fontId="9" fillId="0" borderId="0" xfId="1" applyFont="1" applyAlignment="1">
      <alignment vertical="center"/>
    </xf>
    <xf numFmtId="170" fontId="9" fillId="0" borderId="0" xfId="0" applyNumberFormat="1" applyFont="1" applyAlignment="1">
      <alignment horizontal="left"/>
    </xf>
    <xf numFmtId="171" fontId="9" fillId="6" borderId="1" xfId="1" applyNumberFormat="1" applyFont="1" applyFill="1" applyBorder="1" applyAlignment="1">
      <alignment horizontal="right" vertical="center"/>
    </xf>
    <xf numFmtId="171" fontId="9" fillId="9" borderId="1" xfId="1" applyNumberFormat="1" applyFont="1" applyFill="1" applyBorder="1" applyAlignment="1">
      <alignment horizontal="right" vertical="center"/>
    </xf>
    <xf numFmtId="171" fontId="9" fillId="0" borderId="1" xfId="1" applyNumberFormat="1" applyFont="1" applyFill="1" applyBorder="1" applyAlignment="1">
      <alignment horizontal="right" vertical="center"/>
    </xf>
    <xf numFmtId="41" fontId="9" fillId="0" borderId="1" xfId="1" applyNumberFormat="1" applyFont="1" applyFill="1" applyBorder="1" applyAlignment="1">
      <alignment horizontal="right" vertical="center"/>
    </xf>
    <xf numFmtId="171" fontId="9" fillId="6" borderId="4" xfId="1" applyNumberFormat="1" applyFont="1" applyFill="1" applyBorder="1" applyAlignment="1" applyProtection="1">
      <alignment horizontal="right" vertical="center"/>
      <protection locked="0"/>
    </xf>
    <xf numFmtId="171" fontId="13" fillId="9" borderId="4" xfId="1" applyNumberFormat="1" applyFont="1" applyFill="1" applyBorder="1" applyAlignment="1" applyProtection="1">
      <alignment horizontal="right" vertical="center"/>
      <protection locked="0"/>
    </xf>
    <xf numFmtId="171" fontId="9" fillId="0" borderId="4" xfId="1" applyNumberFormat="1" applyFont="1" applyFill="1" applyBorder="1" applyAlignment="1" applyProtection="1">
      <alignment horizontal="right" vertical="center"/>
      <protection locked="0"/>
    </xf>
    <xf numFmtId="171" fontId="9" fillId="9" borderId="4" xfId="1" applyNumberFormat="1" applyFont="1" applyFill="1" applyBorder="1" applyAlignment="1" applyProtection="1">
      <alignment horizontal="right" vertical="center"/>
      <protection locked="0"/>
    </xf>
    <xf numFmtId="0" fontId="9" fillId="0" borderId="4" xfId="0" applyFont="1" applyBorder="1"/>
    <xf numFmtId="167" fontId="9" fillId="6" borderId="4" xfId="0" applyNumberFormat="1" applyFont="1" applyFill="1" applyBorder="1" applyAlignment="1">
      <alignment horizontal="right" vertical="center"/>
    </xf>
    <xf numFmtId="167" fontId="9" fillId="9" borderId="4" xfId="0" applyNumberFormat="1" applyFont="1" applyFill="1" applyBorder="1" applyAlignment="1">
      <alignment horizontal="right" vertical="center"/>
    </xf>
    <xf numFmtId="167" fontId="9" fillId="0" borderId="4" xfId="0" applyNumberFormat="1" applyFont="1" applyFill="1" applyBorder="1" applyAlignment="1">
      <alignment horizontal="right" vertical="center"/>
    </xf>
    <xf numFmtId="41" fontId="9" fillId="9" borderId="6" xfId="1" applyNumberFormat="1" applyFont="1" applyFill="1" applyBorder="1" applyAlignment="1">
      <alignment horizontal="right" vertical="center"/>
    </xf>
    <xf numFmtId="41" fontId="9" fillId="0" borderId="6" xfId="1" applyNumberFormat="1" applyFont="1" applyFill="1" applyBorder="1" applyAlignment="1">
      <alignment horizontal="right" vertical="center"/>
    </xf>
    <xf numFmtId="0" fontId="9" fillId="0" borderId="1" xfId="0" applyFont="1" applyBorder="1" applyAlignment="1">
      <alignment vertical="center" wrapText="1"/>
    </xf>
    <xf numFmtId="0" fontId="9" fillId="0" borderId="1" xfId="0" applyFont="1" applyBorder="1"/>
    <xf numFmtId="171" fontId="9" fillId="10" borderId="1" xfId="1" applyNumberFormat="1" applyFont="1" applyFill="1" applyBorder="1" applyAlignment="1">
      <alignment horizontal="right" vertical="center"/>
    </xf>
    <xf numFmtId="0" fontId="9" fillId="0" borderId="4" xfId="0" applyFont="1" applyBorder="1" applyAlignment="1">
      <alignment vertical="center" wrapText="1"/>
    </xf>
    <xf numFmtId="41" fontId="14" fillId="11" borderId="4" xfId="1" applyNumberFormat="1" applyFont="1" applyFill="1" applyBorder="1" applyAlignment="1" applyProtection="1">
      <alignment horizontal="right" vertical="center"/>
      <protection locked="0"/>
    </xf>
    <xf numFmtId="167" fontId="9" fillId="6" borderId="4" xfId="2" applyNumberFormat="1" applyFont="1" applyFill="1" applyBorder="1" applyAlignment="1">
      <alignment horizontal="right"/>
    </xf>
    <xf numFmtId="167" fontId="9" fillId="9" borderId="4" xfId="2" applyNumberFormat="1" applyFont="1" applyFill="1" applyBorder="1" applyAlignment="1">
      <alignment horizontal="right"/>
    </xf>
    <xf numFmtId="0" fontId="9" fillId="0" borderId="6" xfId="0" applyFont="1" applyBorder="1"/>
    <xf numFmtId="41" fontId="9" fillId="6" borderId="6" xfId="0" applyNumberFormat="1" applyFont="1" applyFill="1" applyBorder="1" applyAlignment="1">
      <alignment horizontal="right"/>
    </xf>
    <xf numFmtId="41" fontId="9" fillId="9" borderId="6" xfId="1" applyNumberFormat="1" applyFont="1" applyFill="1" applyBorder="1" applyAlignment="1">
      <alignment horizontal="right"/>
    </xf>
    <xf numFmtId="41" fontId="14" fillId="11" borderId="6" xfId="0" applyNumberFormat="1" applyFont="1" applyFill="1" applyBorder="1" applyAlignment="1">
      <alignment horizontal="right" vertical="center"/>
    </xf>
    <xf numFmtId="171" fontId="9" fillId="6" borderId="4" xfId="1" applyNumberFormat="1" applyFont="1" applyFill="1" applyBorder="1" applyAlignment="1">
      <alignment horizontal="right" vertical="center"/>
    </xf>
    <xf numFmtId="171" fontId="9" fillId="9" borderId="4" xfId="1" applyNumberFormat="1" applyFont="1" applyFill="1" applyBorder="1" applyAlignment="1">
      <alignment horizontal="right" vertical="center"/>
    </xf>
    <xf numFmtId="171" fontId="9" fillId="0" borderId="4" xfId="1" applyNumberFormat="1" applyFont="1" applyFill="1" applyBorder="1" applyAlignment="1">
      <alignment horizontal="right" vertical="center"/>
    </xf>
    <xf numFmtId="41" fontId="9" fillId="0" borderId="4" xfId="1" applyNumberFormat="1" applyFont="1" applyFill="1" applyBorder="1" applyAlignment="1">
      <alignment horizontal="right" vertical="center"/>
    </xf>
    <xf numFmtId="41" fontId="9" fillId="9" borderId="4" xfId="1" applyNumberFormat="1" applyFont="1" applyFill="1" applyBorder="1" applyAlignment="1">
      <alignment horizontal="right" vertical="center"/>
    </xf>
    <xf numFmtId="41" fontId="15" fillId="10" borderId="4" xfId="1" applyNumberFormat="1" applyFont="1" applyFill="1" applyBorder="1" applyAlignment="1">
      <alignment horizontal="right" vertical="center"/>
    </xf>
    <xf numFmtId="171" fontId="15" fillId="12" borderId="4" xfId="1" applyNumberFormat="1" applyFont="1" applyFill="1" applyBorder="1" applyAlignment="1" applyProtection="1">
      <alignment horizontal="right" vertical="center"/>
      <protection locked="0"/>
    </xf>
    <xf numFmtId="167" fontId="15" fillId="12" borderId="4" xfId="0" applyNumberFormat="1" applyFont="1" applyFill="1" applyBorder="1" applyAlignment="1">
      <alignment horizontal="right" vertical="center"/>
    </xf>
    <xf numFmtId="41" fontId="15" fillId="12" borderId="4" xfId="1" applyNumberFormat="1" applyFont="1" applyFill="1" applyBorder="1" applyAlignment="1">
      <alignment horizontal="right" vertical="center"/>
    </xf>
    <xf numFmtId="38" fontId="9" fillId="6" borderId="4" xfId="1" applyNumberFormat="1" applyFont="1" applyFill="1" applyBorder="1" applyAlignment="1">
      <alignment horizontal="right" vertical="center"/>
    </xf>
    <xf numFmtId="38" fontId="9" fillId="9" borderId="6" xfId="1" applyNumberFormat="1" applyFont="1" applyFill="1" applyBorder="1" applyAlignment="1">
      <alignment horizontal="right" vertical="center"/>
    </xf>
    <xf numFmtId="38" fontId="9" fillId="0" borderId="6" xfId="1" applyNumberFormat="1" applyFont="1" applyFill="1" applyBorder="1" applyAlignment="1">
      <alignment horizontal="right" vertical="center"/>
    </xf>
    <xf numFmtId="38" fontId="9" fillId="0" borderId="3" xfId="1" applyNumberFormat="1" applyFont="1" applyFill="1" applyBorder="1" applyAlignment="1">
      <alignment horizontal="right" vertical="center"/>
    </xf>
    <xf numFmtId="171" fontId="9" fillId="0" borderId="8" xfId="1" applyNumberFormat="1" applyFont="1" applyFill="1" applyBorder="1" applyAlignment="1">
      <alignment horizontal="right" vertical="center"/>
    </xf>
    <xf numFmtId="171" fontId="9" fillId="9" borderId="8" xfId="1" applyNumberFormat="1" applyFont="1" applyFill="1" applyBorder="1" applyAlignment="1">
      <alignment horizontal="right" vertical="center"/>
    </xf>
    <xf numFmtId="171" fontId="9" fillId="0" borderId="3" xfId="1" applyNumberFormat="1" applyFont="1" applyFill="1" applyBorder="1" applyAlignment="1">
      <alignment horizontal="right" vertical="center"/>
    </xf>
    <xf numFmtId="171" fontId="9" fillId="9" borderId="3" xfId="1" applyNumberFormat="1" applyFont="1" applyFill="1" applyBorder="1" applyAlignment="1">
      <alignment horizontal="right" vertical="center"/>
    </xf>
    <xf numFmtId="0" fontId="9" fillId="0" borderId="9" xfId="0" applyFont="1" applyBorder="1" applyAlignment="1">
      <alignment horizontal="left" vertical="center"/>
    </xf>
    <xf numFmtId="41" fontId="15" fillId="10" borderId="6" xfId="1" applyNumberFormat="1" applyFont="1" applyFill="1" applyBorder="1" applyAlignment="1">
      <alignment horizontal="right" vertical="center"/>
    </xf>
    <xf numFmtId="41" fontId="15" fillId="12" borderId="6" xfId="1" applyNumberFormat="1" applyFont="1" applyFill="1" applyBorder="1" applyAlignment="1">
      <alignment horizontal="right" vertical="center"/>
    </xf>
    <xf numFmtId="40" fontId="9" fillId="0" borderId="0" xfId="0" applyNumberFormat="1" applyFont="1" applyFill="1" applyBorder="1"/>
    <xf numFmtId="43" fontId="9" fillId="0" borderId="0" xfId="1" applyFont="1" applyFill="1" applyBorder="1"/>
    <xf numFmtId="43" fontId="9" fillId="0" borderId="0" xfId="0" applyNumberFormat="1" applyFont="1" applyFill="1" applyBorder="1"/>
    <xf numFmtId="0" fontId="9" fillId="0" borderId="0" xfId="0" applyFont="1" applyFill="1" applyBorder="1"/>
    <xf numFmtId="171" fontId="9" fillId="0" borderId="0" xfId="0" applyNumberFormat="1" applyFont="1" applyFill="1" applyBorder="1"/>
    <xf numFmtId="171" fontId="16" fillId="0" borderId="0" xfId="1" applyNumberFormat="1" applyFont="1" applyFill="1" applyBorder="1" applyAlignment="1">
      <alignment horizontal="right" vertical="center"/>
    </xf>
    <xf numFmtId="18" fontId="9" fillId="0" borderId="0" xfId="0" applyNumberFormat="1" applyFont="1"/>
    <xf numFmtId="0" fontId="2" fillId="0" borderId="0" xfId="0" applyFont="1"/>
    <xf numFmtId="0" fontId="17" fillId="0" borderId="0" xfId="0" applyFont="1" applyAlignment="1">
      <alignment vertical="center"/>
    </xf>
  </cellXfs>
  <cellStyles count="4">
    <cellStyle name="Comma" xfId="1" builtinId="3"/>
    <cellStyle name="Hyperlink" xfId="3" builtinId="8"/>
    <cellStyle name="Normal" xfId="0" builtinId="0"/>
    <cellStyle name="Percent" xfId="2" builtinId="5"/>
  </cellStyles>
  <dxfs count="497"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C7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FF0000"/>
      </font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C7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FF0000"/>
      </font>
    </dxf>
    <dxf>
      <font>
        <b/>
        <i val="0"/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C7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FF0000"/>
      </font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C7CE"/>
        </patternFill>
      </fill>
    </dxf>
    <dxf>
      <font>
        <color rgb="FFFF0000"/>
      </font>
    </dxf>
    <dxf>
      <font>
        <b/>
        <i val="0"/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FF0000"/>
      </font>
    </dxf>
    <dxf>
      <font>
        <b/>
        <i val="0"/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161924</xdr:colOff>
      <xdr:row>6</xdr:row>
      <xdr:rowOff>57149</xdr:rowOff>
    </xdr:from>
    <xdr:to>
      <xdr:col>3</xdr:col>
      <xdr:colOff>219075</xdr:colOff>
      <xdr:row>8</xdr:row>
      <xdr:rowOff>95250</xdr:rowOff>
    </xdr:to>
    <xdr:sp macro="[0]!Update_t_1" textlink="">
      <xdr:nvSpPr>
        <xdr:cNvPr id="2" name="Rounded Rectangle 1"/>
        <xdr:cNvSpPr/>
      </xdr:nvSpPr>
      <xdr:spPr>
        <a:xfrm>
          <a:off x="771524" y="1200149"/>
          <a:ext cx="1276351" cy="419101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Update</a:t>
          </a:r>
        </a:p>
      </xdr:txBody>
    </xdr:sp>
    <xdr:clientData/>
  </xdr:twoCellAnchor>
  <xdr:twoCellAnchor>
    <xdr:from>
      <xdr:col>1</xdr:col>
      <xdr:colOff>161925</xdr:colOff>
      <xdr:row>9</xdr:row>
      <xdr:rowOff>85725</xdr:rowOff>
    </xdr:from>
    <xdr:to>
      <xdr:col>3</xdr:col>
      <xdr:colOff>219076</xdr:colOff>
      <xdr:row>11</xdr:row>
      <xdr:rowOff>123826</xdr:rowOff>
    </xdr:to>
    <xdr:sp macro="[0]!PrepEmail" textlink="">
      <xdr:nvSpPr>
        <xdr:cNvPr id="3" name="Rounded Rectangle 2"/>
        <xdr:cNvSpPr/>
      </xdr:nvSpPr>
      <xdr:spPr>
        <a:xfrm>
          <a:off x="771525" y="1800225"/>
          <a:ext cx="1276351" cy="419101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Email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mailto:adam.sim@maybank-ib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L8"/>
  <sheetViews>
    <sheetView tabSelected="1" workbookViewId="0">
      <selection activeCell="H12" sqref="H12"/>
    </sheetView>
  </sheetViews>
  <sheetFormatPr defaultRowHeight="15" x14ac:dyDescent="0.25"/>
  <cols>
    <col min="8" max="8" width="15.28515625" bestFit="1" customWidth="1"/>
  </cols>
  <sheetData>
    <row r="1" spans="2:12" x14ac:dyDescent="0.25">
      <c r="B1" t="str">
        <f ca="1">"Y:\Risk Management\Market Risk\Daily Market Risk Reports\ECS\FA report\"&amp;TEXT(Main!$D$4,"yyyymmdd")</f>
        <v>Y:\Risk Management\Market Risk\Daily Market Risk Reports\ECS\FA report\20190822</v>
      </c>
    </row>
    <row r="2" spans="2:12" x14ac:dyDescent="0.25">
      <c r="B2" s="4" t="s">
        <v>7</v>
      </c>
      <c r="C2" s="5" t="s">
        <v>8</v>
      </c>
      <c r="D2" s="4" t="s">
        <v>9</v>
      </c>
    </row>
    <row r="3" spans="2:12" x14ac:dyDescent="0.25">
      <c r="B3" s="6" t="s">
        <v>10</v>
      </c>
      <c r="C3" s="7">
        <v>0</v>
      </c>
      <c r="D3" s="8">
        <f ca="1">TODAY()-C3</f>
        <v>43700</v>
      </c>
    </row>
    <row r="4" spans="2:12" x14ac:dyDescent="0.25">
      <c r="B4" s="6" t="s">
        <v>11</v>
      </c>
      <c r="C4" s="7">
        <v>0</v>
      </c>
      <c r="D4" s="8">
        <f ca="1">IF(WEEKDAY(TODAY())=2,TODAY()-3-C4,TODAY()-1-C4)</f>
        <v>43699</v>
      </c>
    </row>
    <row r="5" spans="2:12" x14ac:dyDescent="0.25">
      <c r="B5" s="6" t="s">
        <v>12</v>
      </c>
      <c r="C5" s="7">
        <v>0</v>
      </c>
      <c r="D5" s="8">
        <f ca="1">IF(WEEKDAY(D4)=2,D4-3-C5,D4-1-C5)</f>
        <v>43698</v>
      </c>
    </row>
    <row r="6" spans="2:12" x14ac:dyDescent="0.25">
      <c r="H6" s="122" t="s">
        <v>98</v>
      </c>
    </row>
    <row r="7" spans="2:12" x14ac:dyDescent="0.25">
      <c r="H7" s="122"/>
    </row>
    <row r="8" spans="2:12" x14ac:dyDescent="0.25">
      <c r="H8" s="122" t="str">
        <f ca="1">"1.    There are no breaches as at "&amp;TEXT(D4,"dd/mm/yyyy")</f>
        <v>1.    There are no breaches as at 22/08/2019</v>
      </c>
      <c r="I8" s="122"/>
      <c r="J8" s="122"/>
      <c r="K8" s="122"/>
      <c r="L8" s="122"/>
    </row>
  </sheetData>
  <dataValidations count="1">
    <dataValidation type="whole" allowBlank="1" showInputMessage="1" showErrorMessage="1" sqref="C3:C5">
      <formula1>0</formula1>
      <formula2>7</formula2>
    </dataValidation>
  </dataValidations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21"/>
  <sheetViews>
    <sheetView workbookViewId="0">
      <selection activeCell="B10" sqref="B10"/>
    </sheetView>
  </sheetViews>
  <sheetFormatPr defaultRowHeight="15" x14ac:dyDescent="0.25"/>
  <cols>
    <col min="1" max="1" width="2.85546875" style="2" customWidth="1"/>
    <col min="2" max="2" width="42.85546875" customWidth="1"/>
    <col min="3" max="3" width="2.85546875" style="2" customWidth="1"/>
    <col min="4" max="4" width="42.85546875" customWidth="1"/>
    <col min="5" max="5" width="2.85546875" style="2" customWidth="1"/>
    <col min="6" max="6" width="42.85546875" customWidth="1"/>
    <col min="7" max="7" width="2.85546875" style="2" customWidth="1"/>
    <col min="8" max="8" width="42.85546875" customWidth="1"/>
    <col min="9" max="9" width="2.85546875" style="2" customWidth="1"/>
  </cols>
  <sheetData>
    <row r="1" spans="1:9" x14ac:dyDescent="0.25">
      <c r="A1" s="1"/>
      <c r="B1" s="1" t="s">
        <v>0</v>
      </c>
      <c r="C1" s="1"/>
      <c r="D1" s="1" t="s">
        <v>1</v>
      </c>
      <c r="E1" s="1"/>
      <c r="F1" s="1" t="s">
        <v>2</v>
      </c>
      <c r="G1" s="1"/>
      <c r="H1" s="1" t="s">
        <v>6</v>
      </c>
      <c r="I1" s="1"/>
    </row>
    <row r="2" spans="1:9" ht="15" customHeight="1" x14ac:dyDescent="0.25">
      <c r="B2" t="s">
        <v>3</v>
      </c>
      <c r="D2" t="s">
        <v>5</v>
      </c>
      <c r="F2" t="str">
        <f ca="1">"Regional ECDG Daily Risk Report "&amp;TEXT(Main!$D$4,"yyyymmdd")</f>
        <v>Regional ECDG Daily Risk Report 20190822</v>
      </c>
      <c r="H2" s="10" t="str">
        <f ca="1">Main!$B$1&amp;"\FA Report Regional ECDG "&amp;TEXT(Main!$D$4,"yyyymmdd")&amp;".zip"</f>
        <v>Y:\Risk Management\Market Risk\Daily Market Risk Reports\ECS\FA report\20190822\FA Report Regional ECDG 20190822.zip</v>
      </c>
    </row>
    <row r="3" spans="1:9" x14ac:dyDescent="0.25">
      <c r="B3" t="s">
        <v>77</v>
      </c>
      <c r="D3" t="s">
        <v>72</v>
      </c>
      <c r="H3" s="9"/>
    </row>
    <row r="4" spans="1:9" x14ac:dyDescent="0.25">
      <c r="B4" t="s">
        <v>78</v>
      </c>
      <c r="D4" t="s">
        <v>76</v>
      </c>
      <c r="H4" s="9"/>
    </row>
    <row r="5" spans="1:9" x14ac:dyDescent="0.25">
      <c r="B5" t="s">
        <v>79</v>
      </c>
      <c r="D5" t="s">
        <v>92</v>
      </c>
      <c r="H5" s="9"/>
    </row>
    <row r="6" spans="1:9" x14ac:dyDescent="0.25">
      <c r="B6" t="s">
        <v>80</v>
      </c>
      <c r="D6" t="s">
        <v>93</v>
      </c>
      <c r="H6" s="9"/>
    </row>
    <row r="7" spans="1:9" x14ac:dyDescent="0.25">
      <c r="B7" t="s">
        <v>81</v>
      </c>
      <c r="D7" t="s">
        <v>94</v>
      </c>
    </row>
    <row r="8" spans="1:9" x14ac:dyDescent="0.25">
      <c r="B8" t="s">
        <v>82</v>
      </c>
      <c r="D8" t="s">
        <v>95</v>
      </c>
    </row>
    <row r="9" spans="1:9" x14ac:dyDescent="0.25">
      <c r="B9" t="s">
        <v>83</v>
      </c>
      <c r="D9" t="s">
        <v>96</v>
      </c>
    </row>
    <row r="10" spans="1:9" x14ac:dyDescent="0.25">
      <c r="B10" s="3" t="s">
        <v>4</v>
      </c>
      <c r="D10" t="s">
        <v>97</v>
      </c>
    </row>
    <row r="11" spans="1:9" x14ac:dyDescent="0.25">
      <c r="B11" t="s">
        <v>84</v>
      </c>
    </row>
    <row r="12" spans="1:9" x14ac:dyDescent="0.25">
      <c r="B12" t="s">
        <v>85</v>
      </c>
    </row>
    <row r="13" spans="1:9" x14ac:dyDescent="0.25">
      <c r="B13" t="s">
        <v>74</v>
      </c>
    </row>
    <row r="14" spans="1:9" x14ac:dyDescent="0.25">
      <c r="B14" t="s">
        <v>86</v>
      </c>
    </row>
    <row r="15" spans="1:9" x14ac:dyDescent="0.25">
      <c r="B15" t="s">
        <v>87</v>
      </c>
    </row>
    <row r="16" spans="1:9" x14ac:dyDescent="0.25">
      <c r="B16" t="s">
        <v>88</v>
      </c>
    </row>
    <row r="17" spans="2:2" x14ac:dyDescent="0.25">
      <c r="B17" t="s">
        <v>89</v>
      </c>
    </row>
    <row r="18" spans="2:2" x14ac:dyDescent="0.25">
      <c r="B18" t="s">
        <v>90</v>
      </c>
    </row>
    <row r="19" spans="2:2" x14ac:dyDescent="0.25">
      <c r="B19" t="s">
        <v>73</v>
      </c>
    </row>
    <row r="20" spans="2:2" x14ac:dyDescent="0.25">
      <c r="B20" t="s">
        <v>91</v>
      </c>
    </row>
    <row r="21" spans="2:2" x14ac:dyDescent="0.25">
      <c r="B21" t="s">
        <v>75</v>
      </c>
    </row>
  </sheetData>
  <hyperlinks>
    <hyperlink ref="B10" r:id="rId1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69"/>
  <sheetViews>
    <sheetView topLeftCell="A118" zoomScale="85" zoomScaleNormal="85" workbookViewId="0">
      <selection activeCell="A134" sqref="A134:G169"/>
    </sheetView>
  </sheetViews>
  <sheetFormatPr defaultRowHeight="15.75" x14ac:dyDescent="0.3"/>
  <cols>
    <col min="1" max="1" width="31.85546875" style="51" customWidth="1"/>
    <col min="2" max="2" width="12.7109375" style="51" bestFit="1" customWidth="1"/>
    <col min="3" max="3" width="14.5703125" style="59" bestFit="1" customWidth="1"/>
    <col min="4" max="7" width="14.5703125" style="59" customWidth="1"/>
  </cols>
  <sheetData>
    <row r="1" spans="1:7" ht="18" x14ac:dyDescent="0.25">
      <c r="A1" s="11" t="s">
        <v>13</v>
      </c>
      <c r="B1" s="12"/>
      <c r="C1" s="13"/>
      <c r="D1" s="13"/>
      <c r="E1" s="13"/>
      <c r="F1" s="13"/>
      <c r="G1" s="13"/>
    </row>
    <row r="2" spans="1:7" ht="15" x14ac:dyDescent="0.25">
      <c r="A2" s="14" t="s">
        <v>14</v>
      </c>
      <c r="B2" s="15">
        <v>43699</v>
      </c>
      <c r="C2" s="16" t="s">
        <v>99</v>
      </c>
      <c r="D2" s="16"/>
      <c r="E2" s="16"/>
      <c r="F2" s="16"/>
      <c r="G2" s="16"/>
    </row>
    <row r="3" spans="1:7" ht="15" x14ac:dyDescent="0.25">
      <c r="A3" s="17"/>
      <c r="B3" s="12"/>
      <c r="C3" s="13"/>
      <c r="D3" s="13"/>
      <c r="E3" s="13"/>
      <c r="F3" s="13"/>
      <c r="G3" s="13"/>
    </row>
    <row r="4" spans="1:7" ht="15" x14ac:dyDescent="0.25">
      <c r="A4" s="12" t="s">
        <v>15</v>
      </c>
      <c r="B4" s="18">
        <v>4.1825000000000001</v>
      </c>
      <c r="C4" s="13"/>
      <c r="D4" s="13"/>
      <c r="E4" s="13"/>
      <c r="F4" s="13"/>
      <c r="G4" s="13"/>
    </row>
    <row r="5" spans="1:7" ht="15" x14ac:dyDescent="0.25">
      <c r="A5" s="13" t="s">
        <v>16</v>
      </c>
      <c r="B5" s="18">
        <v>7.3604303599999996</v>
      </c>
      <c r="C5" s="13"/>
      <c r="D5" s="13"/>
      <c r="E5" s="13"/>
      <c r="F5" s="13"/>
      <c r="G5" s="13"/>
    </row>
    <row r="6" spans="1:7" ht="15" x14ac:dyDescent="0.25">
      <c r="A6" s="12"/>
      <c r="B6" s="18"/>
      <c r="C6" s="13"/>
      <c r="D6" s="13"/>
      <c r="E6" s="13"/>
      <c r="F6" s="13"/>
      <c r="G6" s="13"/>
    </row>
    <row r="7" spans="1:7" ht="15" x14ac:dyDescent="0.25">
      <c r="A7" s="19" t="s">
        <v>17</v>
      </c>
      <c r="B7" s="20" t="s">
        <v>18</v>
      </c>
      <c r="C7" s="20" t="s">
        <v>19</v>
      </c>
      <c r="D7" s="20" t="s">
        <v>20</v>
      </c>
      <c r="E7" s="20" t="s">
        <v>21</v>
      </c>
      <c r="F7" s="20" t="s">
        <v>22</v>
      </c>
      <c r="G7" s="20" t="s">
        <v>23</v>
      </c>
    </row>
    <row r="8" spans="1:7" ht="15" x14ac:dyDescent="0.25">
      <c r="A8" s="21" t="s">
        <v>24</v>
      </c>
      <c r="B8" s="22" t="s">
        <v>25</v>
      </c>
      <c r="C8" s="23">
        <v>-1629644.2840120888</v>
      </c>
      <c r="D8" s="24">
        <v>-1559774</v>
      </c>
      <c r="E8" s="24">
        <v>-27790</v>
      </c>
      <c r="F8" s="24">
        <v>-32334.658214197141</v>
      </c>
      <c r="G8" s="24">
        <v>0</v>
      </c>
    </row>
    <row r="9" spans="1:7" ht="15" x14ac:dyDescent="0.25">
      <c r="A9" s="25"/>
      <c r="B9" s="22" t="s">
        <v>26</v>
      </c>
      <c r="C9" s="26">
        <v>-18000000</v>
      </c>
      <c r="D9" s="27">
        <v>-9500000</v>
      </c>
      <c r="E9" s="27">
        <v>-2000000</v>
      </c>
      <c r="F9" s="27">
        <v>-4500000</v>
      </c>
      <c r="G9" s="27">
        <v>-2000000</v>
      </c>
    </row>
    <row r="10" spans="1:7" ht="15" x14ac:dyDescent="0.25">
      <c r="A10" s="25"/>
      <c r="B10" s="22" t="s">
        <v>27</v>
      </c>
      <c r="C10" s="28">
        <v>9.0535793556227151E-2</v>
      </c>
      <c r="D10" s="29">
        <v>0.16418673684210527</v>
      </c>
      <c r="E10" s="29">
        <v>1.3894999999999999E-2</v>
      </c>
      <c r="F10" s="29">
        <v>6.7999142857142853E-3</v>
      </c>
      <c r="G10" s="29">
        <v>0</v>
      </c>
    </row>
    <row r="11" spans="1:7" ht="15" x14ac:dyDescent="0.25">
      <c r="A11" s="25"/>
      <c r="B11" s="22" t="s">
        <v>28</v>
      </c>
      <c r="C11" s="26">
        <v>0</v>
      </c>
      <c r="D11" s="27">
        <v>0</v>
      </c>
      <c r="E11" s="27">
        <v>0</v>
      </c>
      <c r="F11" s="27">
        <v>0</v>
      </c>
      <c r="G11" s="27">
        <v>0</v>
      </c>
    </row>
    <row r="12" spans="1:7" ht="15" x14ac:dyDescent="0.25">
      <c r="A12" s="21" t="s">
        <v>29</v>
      </c>
      <c r="B12" s="21" t="s">
        <v>25</v>
      </c>
      <c r="C12" s="30">
        <v>1505250.4498979999</v>
      </c>
      <c r="D12" s="24">
        <v>1471085.1660830001</v>
      </c>
      <c r="E12" s="31"/>
      <c r="F12" s="24">
        <v>-4765.5479662740818</v>
      </c>
      <c r="G12" s="32"/>
    </row>
    <row r="13" spans="1:7" ht="15" x14ac:dyDescent="0.25">
      <c r="A13" s="25"/>
      <c r="B13" s="25" t="s">
        <v>26</v>
      </c>
      <c r="C13" s="33">
        <v>5000000</v>
      </c>
      <c r="D13" s="34">
        <v>4400000</v>
      </c>
      <c r="E13" s="35"/>
      <c r="F13" s="34">
        <v>600000</v>
      </c>
      <c r="G13" s="35"/>
    </row>
    <row r="14" spans="1:7" ht="15" x14ac:dyDescent="0.25">
      <c r="A14" s="25"/>
      <c r="B14" s="25" t="s">
        <v>27</v>
      </c>
      <c r="C14" s="28">
        <v>0.30105008997959998</v>
      </c>
      <c r="D14" s="29">
        <v>0.33433753774613639</v>
      </c>
      <c r="E14" s="36"/>
      <c r="F14" s="29">
        <v>7.4630816878723414E-3</v>
      </c>
      <c r="G14" s="36"/>
    </row>
    <row r="15" spans="1:7" ht="15" x14ac:dyDescent="0.25">
      <c r="A15" s="37"/>
      <c r="B15" s="37" t="s">
        <v>28</v>
      </c>
      <c r="C15" s="38">
        <v>0</v>
      </c>
      <c r="D15" s="39">
        <v>0</v>
      </c>
      <c r="E15" s="40"/>
      <c r="F15" s="39">
        <v>0</v>
      </c>
      <c r="G15" s="40"/>
    </row>
    <row r="16" spans="1:7" ht="15" x14ac:dyDescent="0.25">
      <c r="A16" s="21" t="s">
        <v>30</v>
      </c>
      <c r="B16" s="21" t="s">
        <v>25</v>
      </c>
      <c r="C16" s="23">
        <v>30926</v>
      </c>
      <c r="D16" s="24">
        <v>-41108</v>
      </c>
      <c r="E16" s="24">
        <v>0</v>
      </c>
      <c r="F16" s="24">
        <v>3646.2541845175479</v>
      </c>
      <c r="G16" s="24">
        <v>0</v>
      </c>
    </row>
    <row r="17" spans="1:7" ht="15" x14ac:dyDescent="0.25">
      <c r="A17" s="25"/>
      <c r="B17" s="25" t="s">
        <v>26</v>
      </c>
      <c r="C17" s="26">
        <v>2750000</v>
      </c>
      <c r="D17" s="34">
        <v>1730000</v>
      </c>
      <c r="E17" s="34">
        <v>220000</v>
      </c>
      <c r="F17" s="41">
        <v>580000</v>
      </c>
      <c r="G17" s="41">
        <v>220000</v>
      </c>
    </row>
    <row r="18" spans="1:7" ht="15" x14ac:dyDescent="0.25">
      <c r="A18" s="25"/>
      <c r="B18" s="25" t="s">
        <v>27</v>
      </c>
      <c r="C18" s="28">
        <v>1.1245818181818181E-2</v>
      </c>
      <c r="D18" s="29">
        <v>2.376184971098266E-2</v>
      </c>
      <c r="E18" s="29">
        <v>0</v>
      </c>
      <c r="F18" s="29">
        <v>5.9639999999999997E-3</v>
      </c>
      <c r="G18" s="29">
        <v>3.9427513227513228E-2</v>
      </c>
    </row>
    <row r="19" spans="1:7" ht="15" x14ac:dyDescent="0.25">
      <c r="A19" s="37"/>
      <c r="B19" s="37" t="s">
        <v>28</v>
      </c>
      <c r="C19" s="38">
        <v>0</v>
      </c>
      <c r="D19" s="39">
        <v>0</v>
      </c>
      <c r="E19" s="39">
        <v>0</v>
      </c>
      <c r="F19" s="39">
        <v>0</v>
      </c>
      <c r="G19" s="39">
        <v>0</v>
      </c>
    </row>
    <row r="20" spans="1:7" ht="15" x14ac:dyDescent="0.25">
      <c r="A20" s="42" t="s">
        <v>31</v>
      </c>
      <c r="B20" s="21" t="s">
        <v>25</v>
      </c>
      <c r="C20" s="26">
        <v>2728172.8503890019</v>
      </c>
      <c r="D20" s="24">
        <v>3926985.6951110591</v>
      </c>
      <c r="E20" s="24">
        <v>32946.684066823625</v>
      </c>
      <c r="F20" s="24">
        <v>0</v>
      </c>
      <c r="G20" s="24">
        <v>0</v>
      </c>
    </row>
    <row r="21" spans="1:7" ht="15" x14ac:dyDescent="0.25">
      <c r="A21" s="43"/>
      <c r="B21" s="25" t="s">
        <v>26</v>
      </c>
      <c r="C21" s="33">
        <v>47500000</v>
      </c>
      <c r="D21" s="34">
        <v>32500000</v>
      </c>
      <c r="E21" s="34">
        <v>5000000</v>
      </c>
      <c r="F21" s="34">
        <v>5000000</v>
      </c>
      <c r="G21" s="34">
        <v>5000000</v>
      </c>
    </row>
    <row r="22" spans="1:7" ht="15" x14ac:dyDescent="0.25">
      <c r="A22" s="25"/>
      <c r="B22" s="25" t="s">
        <v>27</v>
      </c>
      <c r="C22" s="28">
        <v>5.7435217902926355E-2</v>
      </c>
      <c r="D22" s="29">
        <v>0.12083032908034028</v>
      </c>
      <c r="E22" s="29">
        <v>6.5893368133647249E-3</v>
      </c>
      <c r="F22" s="29">
        <v>0</v>
      </c>
      <c r="G22" s="29">
        <v>0</v>
      </c>
    </row>
    <row r="23" spans="1:7" ht="15" x14ac:dyDescent="0.25">
      <c r="A23" s="25"/>
      <c r="B23" s="25" t="s">
        <v>28</v>
      </c>
      <c r="C23" s="38">
        <v>0</v>
      </c>
      <c r="D23" s="39">
        <v>0</v>
      </c>
      <c r="E23" s="39">
        <v>0</v>
      </c>
      <c r="F23" s="39">
        <v>0</v>
      </c>
      <c r="G23" s="39">
        <v>0</v>
      </c>
    </row>
    <row r="24" spans="1:7" ht="15" x14ac:dyDescent="0.25">
      <c r="A24" s="42" t="s">
        <v>32</v>
      </c>
      <c r="B24" s="21" t="s">
        <v>33</v>
      </c>
      <c r="C24" s="23">
        <v>-178.96191464435145</v>
      </c>
      <c r="D24" s="24">
        <v>-65.807639210998204</v>
      </c>
      <c r="E24" s="24">
        <v>-99.415139270771064</v>
      </c>
      <c r="F24" s="24">
        <v>-14.759862270586325</v>
      </c>
      <c r="G24" s="24">
        <v>0</v>
      </c>
    </row>
    <row r="25" spans="1:7" ht="15" x14ac:dyDescent="0.25">
      <c r="A25" s="43"/>
      <c r="B25" s="25" t="s">
        <v>34</v>
      </c>
      <c r="C25" s="26">
        <v>-748.50820799999997</v>
      </c>
      <c r="D25" s="27">
        <v>-275.24045100000001</v>
      </c>
      <c r="E25" s="27">
        <v>-415.80381999999997</v>
      </c>
      <c r="F25" s="27">
        <v>-454.38236000000001</v>
      </c>
      <c r="G25" s="27">
        <v>-12.04664</v>
      </c>
    </row>
    <row r="26" spans="1:7" ht="15" x14ac:dyDescent="0.25">
      <c r="A26" s="43"/>
      <c r="B26" s="25" t="s">
        <v>35</v>
      </c>
      <c r="C26" s="26">
        <v>35500</v>
      </c>
      <c r="D26" s="34">
        <v>24000</v>
      </c>
      <c r="E26" s="34">
        <v>5000</v>
      </c>
      <c r="F26" s="34">
        <v>1500</v>
      </c>
      <c r="G26" s="34">
        <v>5000</v>
      </c>
    </row>
    <row r="27" spans="1:7" ht="15" x14ac:dyDescent="0.25">
      <c r="A27" s="25"/>
      <c r="B27" s="25" t="s">
        <v>27</v>
      </c>
      <c r="C27" s="44">
        <v>5.0411806942070835E-3</v>
      </c>
      <c r="D27" s="29">
        <v>2.7419849671249251E-3</v>
      </c>
      <c r="E27" s="29">
        <v>1.9883027854154214E-2</v>
      </c>
      <c r="F27" s="29">
        <v>9.8399081803908824E-3</v>
      </c>
      <c r="G27" s="29">
        <v>1.2422706378853853E-3</v>
      </c>
    </row>
    <row r="28" spans="1:7" ht="15" x14ac:dyDescent="0.25">
      <c r="A28" s="37"/>
      <c r="B28" s="37" t="s">
        <v>28</v>
      </c>
      <c r="C28" s="38">
        <v>0</v>
      </c>
      <c r="D28" s="39">
        <v>0</v>
      </c>
      <c r="E28" s="39">
        <v>0</v>
      </c>
      <c r="F28" s="39">
        <v>0</v>
      </c>
      <c r="G28" s="39">
        <v>0</v>
      </c>
    </row>
    <row r="29" spans="1:7" ht="15" x14ac:dyDescent="0.25">
      <c r="A29" s="21" t="s">
        <v>36</v>
      </c>
      <c r="B29" s="45" t="s">
        <v>37</v>
      </c>
      <c r="C29" s="23">
        <v>-23510410.136873085</v>
      </c>
      <c r="D29" s="24">
        <v>-30725420.321879994</v>
      </c>
      <c r="E29" s="24">
        <v>4898685.0628900006</v>
      </c>
      <c r="F29" s="24">
        <v>2316325.1221169089</v>
      </c>
      <c r="G29" s="24">
        <v>0</v>
      </c>
    </row>
    <row r="30" spans="1:7" ht="15" x14ac:dyDescent="0.25">
      <c r="A30" s="25"/>
      <c r="B30" s="46" t="s">
        <v>38</v>
      </c>
      <c r="C30" s="26">
        <v>68544901.769683942</v>
      </c>
      <c r="D30" s="27">
        <v>65741443.642179996</v>
      </c>
      <c r="E30" s="27">
        <v>1636580.43129</v>
      </c>
      <c r="F30" s="27">
        <v>1166877.6962139481</v>
      </c>
      <c r="G30" s="27">
        <v>0</v>
      </c>
    </row>
    <row r="31" spans="1:7" ht="15" x14ac:dyDescent="0.25">
      <c r="A31" s="43"/>
      <c r="B31" s="46" t="s">
        <v>25</v>
      </c>
      <c r="C31" s="26">
        <v>45034491.632810853</v>
      </c>
      <c r="D31" s="27">
        <v>35016023.320299998</v>
      </c>
      <c r="E31" s="27">
        <v>6535265.4941800004</v>
      </c>
      <c r="F31" s="27">
        <v>3483202.8183308565</v>
      </c>
      <c r="G31" s="27">
        <v>0</v>
      </c>
    </row>
    <row r="32" spans="1:7" ht="15" x14ac:dyDescent="0.25">
      <c r="A32" s="43"/>
      <c r="B32" s="46" t="s">
        <v>26</v>
      </c>
      <c r="C32" s="26">
        <v>-39750000</v>
      </c>
      <c r="D32" s="27">
        <v>-20000000</v>
      </c>
      <c r="E32" s="27">
        <v>-5000000</v>
      </c>
      <c r="F32" s="27">
        <v>-9750000</v>
      </c>
      <c r="G32" s="27">
        <v>-5000000</v>
      </c>
    </row>
    <row r="33" spans="1:7" ht="15" x14ac:dyDescent="0.25">
      <c r="A33" s="25"/>
      <c r="B33" s="46" t="s">
        <v>27</v>
      </c>
      <c r="C33" s="28">
        <v>0</v>
      </c>
      <c r="D33" s="29">
        <v>0</v>
      </c>
      <c r="E33" s="29">
        <v>0</v>
      </c>
      <c r="F33" s="29">
        <v>0</v>
      </c>
      <c r="G33" s="29">
        <v>0</v>
      </c>
    </row>
    <row r="34" spans="1:7" ht="15" x14ac:dyDescent="0.25">
      <c r="A34" s="25"/>
      <c r="B34" s="46" t="s">
        <v>28</v>
      </c>
      <c r="C34" s="47">
        <v>0</v>
      </c>
      <c r="D34" s="48">
        <v>0</v>
      </c>
      <c r="E34" s="48">
        <v>0</v>
      </c>
      <c r="F34" s="48">
        <v>0</v>
      </c>
      <c r="G34" s="48">
        <v>0</v>
      </c>
    </row>
    <row r="35" spans="1:7" ht="15" x14ac:dyDescent="0.25">
      <c r="A35" s="25"/>
      <c r="B35" s="46" t="s">
        <v>39</v>
      </c>
      <c r="C35" s="38">
        <v>-514904.51745999604</v>
      </c>
      <c r="D35" s="39">
        <v>-579379.89493000507</v>
      </c>
      <c r="E35" s="39">
        <v>31421.887600000016</v>
      </c>
      <c r="F35" s="39">
        <v>33042.803578675775</v>
      </c>
      <c r="G35" s="39">
        <v>0</v>
      </c>
    </row>
    <row r="36" spans="1:7" ht="15" x14ac:dyDescent="0.25">
      <c r="A36" s="21" t="s">
        <v>40</v>
      </c>
      <c r="B36" s="21" t="s">
        <v>37</v>
      </c>
      <c r="C36" s="23">
        <v>2240527.481194404</v>
      </c>
      <c r="D36" s="24">
        <v>1739592.2696600147</v>
      </c>
      <c r="E36" s="24">
        <v>527429.15683000069</v>
      </c>
      <c r="F36" s="24">
        <v>-26493.945295611473</v>
      </c>
      <c r="G36" s="24">
        <v>0</v>
      </c>
    </row>
    <row r="37" spans="1:7" ht="15" x14ac:dyDescent="0.25">
      <c r="A37" s="25"/>
      <c r="B37" s="25" t="s">
        <v>38</v>
      </c>
      <c r="C37" s="26">
        <v>5700207.5167759107</v>
      </c>
      <c r="D37" s="27">
        <v>6077466.4878699929</v>
      </c>
      <c r="E37" s="27">
        <v>-193397.50916999998</v>
      </c>
      <c r="F37" s="27">
        <v>-183861.46192408234</v>
      </c>
      <c r="G37" s="27">
        <v>0</v>
      </c>
    </row>
    <row r="38" spans="1:7" ht="15" x14ac:dyDescent="0.25">
      <c r="A38" s="43"/>
      <c r="B38" s="25" t="s">
        <v>25</v>
      </c>
      <c r="C38" s="26">
        <v>7940734.9979703082</v>
      </c>
      <c r="D38" s="27">
        <v>7817058.7575300019</v>
      </c>
      <c r="E38" s="27">
        <v>334031.64766000025</v>
      </c>
      <c r="F38" s="27">
        <v>-210355.40721969382</v>
      </c>
      <c r="G38" s="27">
        <v>0</v>
      </c>
    </row>
    <row r="39" spans="1:7" ht="15" x14ac:dyDescent="0.25">
      <c r="A39" s="43"/>
      <c r="B39" s="25" t="s">
        <v>26</v>
      </c>
      <c r="C39" s="26">
        <v>-24000000</v>
      </c>
      <c r="D39" s="27">
        <v>-13000000</v>
      </c>
      <c r="E39" s="27">
        <v>-2500000</v>
      </c>
      <c r="F39" s="27">
        <v>-6000000</v>
      </c>
      <c r="G39" s="27">
        <v>-2500000</v>
      </c>
    </row>
    <row r="40" spans="1:7" ht="15" x14ac:dyDescent="0.25">
      <c r="A40" s="25"/>
      <c r="B40" s="25" t="s">
        <v>27</v>
      </c>
      <c r="C40" s="28">
        <v>0</v>
      </c>
      <c r="D40" s="29">
        <v>0</v>
      </c>
      <c r="E40" s="29">
        <v>0</v>
      </c>
      <c r="F40" s="29">
        <v>3.5059234536615635E-2</v>
      </c>
      <c r="G40" s="29">
        <v>0</v>
      </c>
    </row>
    <row r="41" spans="1:7" ht="15" x14ac:dyDescent="0.25">
      <c r="A41" s="37"/>
      <c r="B41" s="37" t="s">
        <v>28</v>
      </c>
      <c r="C41" s="49">
        <v>0</v>
      </c>
      <c r="D41" s="50">
        <v>0</v>
      </c>
      <c r="E41" s="50">
        <v>0</v>
      </c>
      <c r="F41" s="50">
        <v>0</v>
      </c>
      <c r="G41" s="50">
        <v>0</v>
      </c>
    </row>
    <row r="42" spans="1:7" x14ac:dyDescent="0.3">
      <c r="A42" s="51" t="s">
        <v>41</v>
      </c>
      <c r="B42" s="52"/>
      <c r="C42" s="53"/>
      <c r="D42" s="53"/>
      <c r="E42" s="53"/>
      <c r="F42" s="53"/>
      <c r="G42" s="53"/>
    </row>
    <row r="43" spans="1:7" x14ac:dyDescent="0.3">
      <c r="B43" s="52"/>
      <c r="C43" s="53"/>
      <c r="D43" s="53"/>
      <c r="E43" s="53"/>
      <c r="F43" s="53"/>
      <c r="G43" s="53"/>
    </row>
    <row r="44" spans="1:7" x14ac:dyDescent="0.3">
      <c r="B44" s="52"/>
      <c r="C44" s="53"/>
      <c r="D44" s="53"/>
      <c r="E44" s="53"/>
      <c r="F44" s="53"/>
      <c r="G44" s="53"/>
    </row>
    <row r="45" spans="1:7" ht="18" x14ac:dyDescent="0.25">
      <c r="A45" s="11" t="s">
        <v>42</v>
      </c>
      <c r="B45" s="12"/>
      <c r="C45" s="13"/>
      <c r="D45" s="13"/>
      <c r="E45" s="13"/>
      <c r="F45" s="13"/>
      <c r="G45" s="13"/>
    </row>
    <row r="46" spans="1:7" ht="15" x14ac:dyDescent="0.25">
      <c r="A46" s="17"/>
      <c r="B46" s="12"/>
      <c r="C46" s="13"/>
      <c r="D46" s="13"/>
      <c r="E46" s="13"/>
      <c r="F46" s="13"/>
      <c r="G46" s="13"/>
    </row>
    <row r="47" spans="1:7" ht="15" x14ac:dyDescent="0.25">
      <c r="A47" s="12" t="s">
        <v>15</v>
      </c>
      <c r="B47" s="18">
        <v>4.1825000000000001</v>
      </c>
      <c r="C47" s="13"/>
      <c r="D47" s="13"/>
      <c r="E47" s="13"/>
      <c r="F47" s="13"/>
      <c r="G47" s="13"/>
    </row>
    <row r="48" spans="1:7" ht="15" x14ac:dyDescent="0.25">
      <c r="A48" s="17"/>
      <c r="B48" s="12"/>
      <c r="C48" s="13"/>
      <c r="D48" s="13"/>
      <c r="E48" s="13"/>
      <c r="F48" s="13"/>
      <c r="G48" s="13"/>
    </row>
    <row r="49" spans="1:7" ht="30" x14ac:dyDescent="0.25">
      <c r="A49" s="19" t="s">
        <v>17</v>
      </c>
      <c r="B49" s="20" t="s">
        <v>18</v>
      </c>
      <c r="C49" s="20" t="s">
        <v>43</v>
      </c>
      <c r="D49" s="20" t="s">
        <v>44</v>
      </c>
      <c r="E49" s="20" t="s">
        <v>45</v>
      </c>
      <c r="F49" s="54"/>
      <c r="G49" s="54"/>
    </row>
    <row r="50" spans="1:7" ht="15" x14ac:dyDescent="0.25">
      <c r="A50" s="21" t="s">
        <v>24</v>
      </c>
      <c r="B50" s="22" t="s">
        <v>25</v>
      </c>
      <c r="C50" s="23">
        <v>-1559774</v>
      </c>
      <c r="D50" s="24">
        <v>-1411201</v>
      </c>
      <c r="E50" s="24">
        <v>-148573</v>
      </c>
      <c r="F50" s="55"/>
      <c r="G50" s="55"/>
    </row>
    <row r="51" spans="1:7" ht="15" x14ac:dyDescent="0.25">
      <c r="A51" s="25"/>
      <c r="B51" s="22" t="s">
        <v>26</v>
      </c>
      <c r="C51" s="26">
        <v>-9500000</v>
      </c>
      <c r="D51" s="27">
        <v>-6650000</v>
      </c>
      <c r="E51" s="27">
        <v>-2850000</v>
      </c>
      <c r="F51" s="56"/>
      <c r="G51" s="56"/>
    </row>
    <row r="52" spans="1:7" ht="15" x14ac:dyDescent="0.25">
      <c r="A52" s="25"/>
      <c r="B52" s="22" t="s">
        <v>27</v>
      </c>
      <c r="C52" s="28">
        <v>0.16418673684210527</v>
      </c>
      <c r="D52" s="29">
        <v>0.21221067669172933</v>
      </c>
      <c r="E52" s="29">
        <v>5.2130877192982455E-2</v>
      </c>
      <c r="F52" s="57"/>
      <c r="G52" s="57"/>
    </row>
    <row r="53" spans="1:7" ht="15" x14ac:dyDescent="0.25">
      <c r="A53" s="25"/>
      <c r="B53" s="22" t="s">
        <v>28</v>
      </c>
      <c r="C53" s="26">
        <v>0</v>
      </c>
      <c r="D53" s="27">
        <v>0</v>
      </c>
      <c r="E53" s="27">
        <v>0</v>
      </c>
      <c r="F53" s="53"/>
      <c r="G53" s="53"/>
    </row>
    <row r="54" spans="1:7" ht="15" x14ac:dyDescent="0.25">
      <c r="A54" s="21" t="s">
        <v>29</v>
      </c>
      <c r="B54" s="21" t="s">
        <v>25</v>
      </c>
      <c r="C54" s="30">
        <v>1471085.1660830001</v>
      </c>
      <c r="D54" s="24">
        <v>1471085.1660830001</v>
      </c>
      <c r="E54" s="32"/>
      <c r="F54" s="53"/>
      <c r="G54" s="53"/>
    </row>
    <row r="55" spans="1:7" ht="15" x14ac:dyDescent="0.25">
      <c r="A55" s="25"/>
      <c r="B55" s="25" t="s">
        <v>26</v>
      </c>
      <c r="C55" s="33">
        <v>4400000</v>
      </c>
      <c r="D55" s="34">
        <v>4400000</v>
      </c>
      <c r="E55" s="35"/>
      <c r="F55" s="56"/>
      <c r="G55" s="56"/>
    </row>
    <row r="56" spans="1:7" ht="15" x14ac:dyDescent="0.25">
      <c r="A56" s="25"/>
      <c r="B56" s="25" t="s">
        <v>27</v>
      </c>
      <c r="C56" s="28">
        <v>0.33433753774613639</v>
      </c>
      <c r="D56" s="29">
        <v>0.33433753774613639</v>
      </c>
      <c r="E56" s="36"/>
      <c r="F56" s="57"/>
      <c r="G56" s="57"/>
    </row>
    <row r="57" spans="1:7" ht="15" x14ac:dyDescent="0.25">
      <c r="A57" s="37"/>
      <c r="B57" s="37" t="s">
        <v>28</v>
      </c>
      <c r="C57" s="38">
        <v>0</v>
      </c>
      <c r="D57" s="39">
        <v>0</v>
      </c>
      <c r="E57" s="40"/>
      <c r="F57" s="53"/>
      <c r="G57" s="53"/>
    </row>
    <row r="58" spans="1:7" ht="15" x14ac:dyDescent="0.25">
      <c r="A58" s="21" t="s">
        <v>30</v>
      </c>
      <c r="B58" s="21" t="s">
        <v>25</v>
      </c>
      <c r="C58" s="23">
        <v>-41108</v>
      </c>
      <c r="D58" s="24">
        <v>-41108</v>
      </c>
      <c r="E58" s="24">
        <v>0</v>
      </c>
      <c r="F58" s="55"/>
      <c r="G58" s="55"/>
    </row>
    <row r="59" spans="1:7" ht="15" x14ac:dyDescent="0.25">
      <c r="A59" s="25"/>
      <c r="B59" s="25" t="s">
        <v>26</v>
      </c>
      <c r="C59" s="33">
        <v>1730000</v>
      </c>
      <c r="D59" s="34">
        <v>1561000</v>
      </c>
      <c r="E59" s="34">
        <v>169000</v>
      </c>
      <c r="F59" s="56"/>
      <c r="G59" s="56"/>
    </row>
    <row r="60" spans="1:7" ht="15" x14ac:dyDescent="0.25">
      <c r="A60" s="25"/>
      <c r="B60" s="25" t="s">
        <v>27</v>
      </c>
      <c r="C60" s="28">
        <v>2.376184971098266E-2</v>
      </c>
      <c r="D60" s="29">
        <v>-2.6334401024983984E-2</v>
      </c>
      <c r="E60" s="29">
        <v>0</v>
      </c>
      <c r="F60" s="57"/>
      <c r="G60" s="57"/>
    </row>
    <row r="61" spans="1:7" ht="15" x14ac:dyDescent="0.25">
      <c r="A61" s="37"/>
      <c r="B61" s="37" t="s">
        <v>28</v>
      </c>
      <c r="C61" s="38">
        <v>0</v>
      </c>
      <c r="D61" s="39">
        <v>0</v>
      </c>
      <c r="E61" s="39">
        <v>0</v>
      </c>
      <c r="F61" s="53"/>
      <c r="G61" s="53"/>
    </row>
    <row r="62" spans="1:7" ht="15" x14ac:dyDescent="0.25">
      <c r="A62" s="42" t="s">
        <v>31</v>
      </c>
      <c r="B62" s="21" t="s">
        <v>25</v>
      </c>
      <c r="C62" s="26">
        <v>3926985.6951110591</v>
      </c>
      <c r="D62" s="24">
        <v>347582.27159480436</v>
      </c>
      <c r="E62" s="24">
        <v>1789701.7117581274</v>
      </c>
      <c r="F62" s="55"/>
      <c r="G62" s="55"/>
    </row>
    <row r="63" spans="1:7" ht="15" x14ac:dyDescent="0.25">
      <c r="A63" s="43"/>
      <c r="B63" s="25" t="s">
        <v>26</v>
      </c>
      <c r="C63" s="33">
        <v>32500000</v>
      </c>
      <c r="D63" s="34">
        <v>9750000</v>
      </c>
      <c r="E63" s="34">
        <v>22750000</v>
      </c>
      <c r="F63" s="56"/>
      <c r="G63" s="56"/>
    </row>
    <row r="64" spans="1:7" ht="15" x14ac:dyDescent="0.25">
      <c r="A64" s="25"/>
      <c r="B64" s="25" t="s">
        <v>27</v>
      </c>
      <c r="C64" s="28">
        <v>0.12083032908034028</v>
      </c>
      <c r="D64" s="29">
        <v>3.5649463753313265E-2</v>
      </c>
      <c r="E64" s="29">
        <v>7.8668207110247357E-2</v>
      </c>
      <c r="F64" s="57"/>
      <c r="G64" s="57"/>
    </row>
    <row r="65" spans="1:7" ht="15" x14ac:dyDescent="0.25">
      <c r="A65" s="25"/>
      <c r="B65" s="25" t="s">
        <v>28</v>
      </c>
      <c r="C65" s="38">
        <v>0</v>
      </c>
      <c r="D65" s="39">
        <v>0</v>
      </c>
      <c r="E65" s="39">
        <v>0</v>
      </c>
      <c r="F65" s="53"/>
      <c r="G65" s="53"/>
    </row>
    <row r="66" spans="1:7" ht="15" x14ac:dyDescent="0.25">
      <c r="A66" s="42" t="s">
        <v>32</v>
      </c>
      <c r="B66" s="21" t="s">
        <v>33</v>
      </c>
      <c r="C66" s="23">
        <v>-65.807639210998204</v>
      </c>
      <c r="D66" s="24">
        <v>-10.562612791392707</v>
      </c>
      <c r="E66" s="24">
        <v>-55.245026419605495</v>
      </c>
      <c r="F66" s="55"/>
      <c r="G66" s="55"/>
    </row>
    <row r="67" spans="1:7" ht="15" x14ac:dyDescent="0.25">
      <c r="A67" s="43"/>
      <c r="B67" s="25" t="s">
        <v>34</v>
      </c>
      <c r="C67" s="26">
        <v>-275.24045100000001</v>
      </c>
      <c r="D67" s="27">
        <v>-44.178128000000001</v>
      </c>
      <c r="E67" s="27">
        <v>-231.06232299999999</v>
      </c>
      <c r="F67" s="55"/>
      <c r="G67" s="55"/>
    </row>
    <row r="68" spans="1:7" ht="15" x14ac:dyDescent="0.25">
      <c r="A68" s="43"/>
      <c r="B68" s="25" t="s">
        <v>35</v>
      </c>
      <c r="C68" s="26">
        <v>24000</v>
      </c>
      <c r="D68" s="34">
        <v>16800</v>
      </c>
      <c r="E68" s="34">
        <v>7200</v>
      </c>
      <c r="F68" s="56"/>
      <c r="G68" s="56"/>
    </row>
    <row r="69" spans="1:7" ht="15" x14ac:dyDescent="0.25">
      <c r="A69" s="25"/>
      <c r="B69" s="25" t="s">
        <v>27</v>
      </c>
      <c r="C69" s="44">
        <v>2.7419849671249251E-3</v>
      </c>
      <c r="D69" s="29">
        <v>2.6296504761904762E-3</v>
      </c>
      <c r="E69" s="29">
        <v>3.2091989305555554E-2</v>
      </c>
      <c r="F69" s="57"/>
      <c r="G69" s="57"/>
    </row>
    <row r="70" spans="1:7" ht="15" x14ac:dyDescent="0.25">
      <c r="A70" s="37"/>
      <c r="B70" s="37" t="s">
        <v>28</v>
      </c>
      <c r="C70" s="38">
        <v>0</v>
      </c>
      <c r="D70" s="39">
        <v>0</v>
      </c>
      <c r="E70" s="39">
        <v>0</v>
      </c>
      <c r="F70" s="53"/>
      <c r="G70" s="53"/>
    </row>
    <row r="71" spans="1:7" ht="15" x14ac:dyDescent="0.25">
      <c r="A71" s="21" t="s">
        <v>36</v>
      </c>
      <c r="B71" s="45" t="s">
        <v>37</v>
      </c>
      <c r="C71" s="23">
        <v>-30725420.321879994</v>
      </c>
      <c r="D71" s="24">
        <v>1776238.6789900013</v>
      </c>
      <c r="E71" s="24">
        <v>-32501659.000869997</v>
      </c>
      <c r="F71" s="55"/>
      <c r="G71" s="55"/>
    </row>
    <row r="72" spans="1:7" ht="15" x14ac:dyDescent="0.25">
      <c r="A72" s="25"/>
      <c r="B72" s="46" t="s">
        <v>38</v>
      </c>
      <c r="C72" s="26">
        <v>65741443.642179996</v>
      </c>
      <c r="D72" s="27">
        <v>18784538.935819998</v>
      </c>
      <c r="E72" s="27">
        <v>46956904.706359997</v>
      </c>
      <c r="F72" s="55"/>
      <c r="G72" s="55"/>
    </row>
    <row r="73" spans="1:7" ht="15" x14ac:dyDescent="0.25">
      <c r="A73" s="43"/>
      <c r="B73" s="46" t="s">
        <v>25</v>
      </c>
      <c r="C73" s="26">
        <v>35016023.320299998</v>
      </c>
      <c r="D73" s="27">
        <v>20560777.614810001</v>
      </c>
      <c r="E73" s="27">
        <v>14455245.705490001</v>
      </c>
      <c r="F73" s="55"/>
      <c r="G73" s="55"/>
    </row>
    <row r="74" spans="1:7" ht="15" x14ac:dyDescent="0.25">
      <c r="A74" s="43"/>
      <c r="B74" s="46" t="s">
        <v>26</v>
      </c>
      <c r="C74" s="26">
        <v>-20000000</v>
      </c>
      <c r="D74" s="58"/>
      <c r="E74" s="58"/>
      <c r="F74" s="56"/>
      <c r="G74" s="56"/>
    </row>
    <row r="75" spans="1:7" ht="15" x14ac:dyDescent="0.25">
      <c r="A75" s="25"/>
      <c r="B75" s="46" t="s">
        <v>27</v>
      </c>
      <c r="C75" s="28">
        <v>0</v>
      </c>
      <c r="D75" s="58"/>
      <c r="E75" s="58"/>
      <c r="F75" s="57"/>
      <c r="G75" s="57"/>
    </row>
    <row r="76" spans="1:7" ht="15" x14ac:dyDescent="0.25">
      <c r="A76" s="25"/>
      <c r="B76" s="46" t="s">
        <v>28</v>
      </c>
      <c r="C76" s="47">
        <v>0</v>
      </c>
      <c r="D76" s="58"/>
      <c r="E76" s="58"/>
      <c r="F76" s="53"/>
      <c r="G76" s="53"/>
    </row>
    <row r="77" spans="1:7" ht="15" x14ac:dyDescent="0.25">
      <c r="A77" s="25"/>
      <c r="B77" s="46" t="s">
        <v>39</v>
      </c>
      <c r="C77" s="38">
        <v>-579379.89493000507</v>
      </c>
      <c r="D77" s="39">
        <v>-497940.75373999774</v>
      </c>
      <c r="E77" s="39">
        <v>-81439.141189999878</v>
      </c>
      <c r="F77" s="55"/>
      <c r="G77" s="55"/>
    </row>
    <row r="78" spans="1:7" ht="15" x14ac:dyDescent="0.25">
      <c r="A78" s="21" t="s">
        <v>40</v>
      </c>
      <c r="B78" s="21" t="s">
        <v>37</v>
      </c>
      <c r="C78" s="23">
        <v>1739592.2696600147</v>
      </c>
      <c r="D78" s="24">
        <v>-3363553.3496799967</v>
      </c>
      <c r="E78" s="24">
        <v>5103145.61934001</v>
      </c>
      <c r="F78" s="55"/>
      <c r="G78" s="55"/>
    </row>
    <row r="79" spans="1:7" ht="15" x14ac:dyDescent="0.25">
      <c r="A79" s="25"/>
      <c r="B79" s="25" t="s">
        <v>38</v>
      </c>
      <c r="C79" s="26">
        <v>6077466.4878699929</v>
      </c>
      <c r="D79" s="27">
        <v>7942020.642889997</v>
      </c>
      <c r="E79" s="27">
        <v>-1864554.155020006</v>
      </c>
      <c r="F79" s="55"/>
      <c r="G79" s="55"/>
    </row>
    <row r="80" spans="1:7" ht="15" x14ac:dyDescent="0.25">
      <c r="A80" s="43"/>
      <c r="B80" s="25" t="s">
        <v>25</v>
      </c>
      <c r="C80" s="26">
        <v>7817058.7575300019</v>
      </c>
      <c r="D80" s="27">
        <v>4578467.2932100017</v>
      </c>
      <c r="E80" s="27">
        <v>3238591.4643200003</v>
      </c>
      <c r="F80" s="55"/>
      <c r="G80" s="55"/>
    </row>
    <row r="81" spans="1:7" ht="15" x14ac:dyDescent="0.25">
      <c r="A81" s="43"/>
      <c r="B81" s="25" t="s">
        <v>26</v>
      </c>
      <c r="C81" s="26">
        <v>-13000000</v>
      </c>
      <c r="D81" s="58"/>
      <c r="E81" s="58"/>
      <c r="F81" s="56"/>
      <c r="G81" s="56"/>
    </row>
    <row r="82" spans="1:7" ht="15" x14ac:dyDescent="0.25">
      <c r="A82" s="25"/>
      <c r="B82" s="25" t="s">
        <v>27</v>
      </c>
      <c r="C82" s="28">
        <v>0</v>
      </c>
      <c r="D82" s="58"/>
      <c r="E82" s="58"/>
      <c r="F82" s="57"/>
      <c r="G82" s="57"/>
    </row>
    <row r="83" spans="1:7" ht="15" x14ac:dyDescent="0.25">
      <c r="A83" s="37"/>
      <c r="B83" s="37" t="s">
        <v>28</v>
      </c>
      <c r="C83" s="49">
        <v>0</v>
      </c>
      <c r="D83" s="40"/>
      <c r="E83" s="40"/>
      <c r="F83" s="53"/>
      <c r="G83" s="53"/>
    </row>
    <row r="84" spans="1:7" x14ac:dyDescent="0.3">
      <c r="A84" s="51" t="s">
        <v>46</v>
      </c>
    </row>
    <row r="87" spans="1:7" ht="18" x14ac:dyDescent="0.25">
      <c r="A87" s="11" t="s">
        <v>47</v>
      </c>
      <c r="B87" s="12"/>
      <c r="C87" s="60"/>
      <c r="D87" s="60"/>
      <c r="E87" s="60"/>
      <c r="F87" s="60"/>
      <c r="G87" s="60"/>
    </row>
    <row r="88" spans="1:7" ht="15" x14ac:dyDescent="0.25">
      <c r="A88" s="17"/>
      <c r="B88" s="12"/>
      <c r="C88" s="60"/>
      <c r="D88" s="60"/>
      <c r="E88" s="60"/>
      <c r="F88" s="60"/>
      <c r="G88" s="60"/>
    </row>
    <row r="89" spans="1:7" ht="15" x14ac:dyDescent="0.25">
      <c r="A89" s="12" t="s">
        <v>15</v>
      </c>
      <c r="B89" s="18">
        <v>4.1825000000000001</v>
      </c>
      <c r="C89" s="13"/>
      <c r="D89" s="13"/>
      <c r="E89" s="13"/>
      <c r="F89" s="13"/>
      <c r="G89" s="13"/>
    </row>
    <row r="90" spans="1:7" ht="15" x14ac:dyDescent="0.25">
      <c r="A90" s="12"/>
      <c r="B90" s="18"/>
      <c r="C90" s="13"/>
      <c r="D90" s="13"/>
      <c r="E90" s="13"/>
      <c r="F90" s="13"/>
      <c r="G90" s="13"/>
    </row>
    <row r="91" spans="1:7" ht="15" x14ac:dyDescent="0.25">
      <c r="A91" s="61" t="s">
        <v>17</v>
      </c>
      <c r="B91" s="20" t="s">
        <v>18</v>
      </c>
      <c r="C91" s="20" t="s">
        <v>43</v>
      </c>
      <c r="D91" s="20" t="s">
        <v>45</v>
      </c>
      <c r="E91" s="54"/>
      <c r="F91" s="54"/>
      <c r="G91" s="54"/>
    </row>
    <row r="92" spans="1:7" ht="15" x14ac:dyDescent="0.25">
      <c r="A92" s="21" t="s">
        <v>24</v>
      </c>
      <c r="B92" s="22" t="s">
        <v>25</v>
      </c>
      <c r="C92" s="23">
        <v>-27790</v>
      </c>
      <c r="D92" s="24">
        <v>-27790</v>
      </c>
      <c r="E92" s="55"/>
      <c r="F92" s="55"/>
      <c r="G92" s="55"/>
    </row>
    <row r="93" spans="1:7" ht="15" x14ac:dyDescent="0.25">
      <c r="A93" s="25"/>
      <c r="B93" s="22" t="s">
        <v>26</v>
      </c>
      <c r="C93" s="26">
        <v>-2000000</v>
      </c>
      <c r="D93" s="27">
        <v>-2000000</v>
      </c>
      <c r="E93" s="56"/>
      <c r="F93" s="56"/>
      <c r="G93" s="56"/>
    </row>
    <row r="94" spans="1:7" ht="15" x14ac:dyDescent="0.25">
      <c r="A94" s="25"/>
      <c r="B94" s="22" t="s">
        <v>27</v>
      </c>
      <c r="C94" s="28">
        <v>1.3894999999999999E-2</v>
      </c>
      <c r="D94" s="29">
        <v>1.3894999999999999E-2</v>
      </c>
      <c r="E94" s="57"/>
      <c r="F94" s="57"/>
      <c r="G94" s="57"/>
    </row>
    <row r="95" spans="1:7" ht="15" x14ac:dyDescent="0.25">
      <c r="A95" s="37"/>
      <c r="B95" s="22" t="s">
        <v>28</v>
      </c>
      <c r="C95" s="26">
        <v>0</v>
      </c>
      <c r="D95" s="27">
        <v>0</v>
      </c>
      <c r="E95" s="53"/>
      <c r="F95" s="53"/>
      <c r="G95" s="53"/>
    </row>
    <row r="96" spans="1:7" ht="15" x14ac:dyDescent="0.25">
      <c r="A96" s="21" t="s">
        <v>29</v>
      </c>
      <c r="B96" s="21" t="s">
        <v>25</v>
      </c>
      <c r="C96" s="30">
        <v>0</v>
      </c>
      <c r="D96" s="24">
        <v>0</v>
      </c>
      <c r="E96" s="53"/>
      <c r="F96" s="53"/>
      <c r="G96" s="53"/>
    </row>
    <row r="97" spans="1:7" ht="15" x14ac:dyDescent="0.25">
      <c r="A97" s="25"/>
      <c r="B97" s="25" t="s">
        <v>26</v>
      </c>
      <c r="C97" s="33">
        <v>0</v>
      </c>
      <c r="D97" s="34">
        <v>0</v>
      </c>
      <c r="E97" s="56"/>
      <c r="F97" s="56"/>
      <c r="G97" s="56"/>
    </row>
    <row r="98" spans="1:7" ht="15" x14ac:dyDescent="0.25">
      <c r="A98" s="25"/>
      <c r="B98" s="25" t="s">
        <v>27</v>
      </c>
      <c r="C98" s="28">
        <v>0</v>
      </c>
      <c r="D98" s="29">
        <v>0</v>
      </c>
      <c r="E98" s="57"/>
      <c r="F98" s="57"/>
      <c r="G98" s="57"/>
    </row>
    <row r="99" spans="1:7" ht="15" x14ac:dyDescent="0.25">
      <c r="A99" s="37"/>
      <c r="B99" s="37" t="s">
        <v>28</v>
      </c>
      <c r="C99" s="38">
        <v>0</v>
      </c>
      <c r="D99" s="39">
        <v>0</v>
      </c>
      <c r="E99" s="53"/>
      <c r="F99" s="53"/>
      <c r="G99" s="53"/>
    </row>
    <row r="100" spans="1:7" ht="15" x14ac:dyDescent="0.25">
      <c r="A100" s="21" t="s">
        <v>30</v>
      </c>
      <c r="B100" s="21" t="s">
        <v>25</v>
      </c>
      <c r="C100" s="23">
        <v>0</v>
      </c>
      <c r="D100" s="24">
        <v>0</v>
      </c>
      <c r="E100" s="55"/>
      <c r="F100" s="55"/>
      <c r="G100" s="55"/>
    </row>
    <row r="101" spans="1:7" ht="15" x14ac:dyDescent="0.25">
      <c r="A101" s="25"/>
      <c r="B101" s="25" t="s">
        <v>26</v>
      </c>
      <c r="C101" s="33">
        <v>220000</v>
      </c>
      <c r="D101" s="34">
        <v>220000</v>
      </c>
      <c r="E101" s="56"/>
      <c r="F101" s="56"/>
      <c r="G101" s="56"/>
    </row>
    <row r="102" spans="1:7" ht="15" x14ac:dyDescent="0.25">
      <c r="A102" s="25"/>
      <c r="B102" s="25" t="s">
        <v>27</v>
      </c>
      <c r="C102" s="28">
        <v>0</v>
      </c>
      <c r="D102" s="29">
        <v>0</v>
      </c>
      <c r="E102" s="57"/>
      <c r="F102" s="57"/>
      <c r="G102" s="57"/>
    </row>
    <row r="103" spans="1:7" ht="15" x14ac:dyDescent="0.25">
      <c r="A103" s="37"/>
      <c r="B103" s="37" t="s">
        <v>28</v>
      </c>
      <c r="C103" s="38">
        <v>0</v>
      </c>
      <c r="D103" s="39">
        <v>0</v>
      </c>
      <c r="E103" s="53"/>
      <c r="F103" s="53"/>
      <c r="G103" s="53"/>
    </row>
    <row r="104" spans="1:7" ht="15" x14ac:dyDescent="0.25">
      <c r="A104" s="42" t="s">
        <v>31</v>
      </c>
      <c r="B104" s="21" t="s">
        <v>25</v>
      </c>
      <c r="C104" s="26">
        <v>32946.684066823625</v>
      </c>
      <c r="D104" s="24">
        <v>32946.684066823625</v>
      </c>
      <c r="E104" s="55"/>
      <c r="F104" s="55"/>
      <c r="G104" s="55"/>
    </row>
    <row r="105" spans="1:7" ht="15" x14ac:dyDescent="0.25">
      <c r="A105" s="43"/>
      <c r="B105" s="25" t="s">
        <v>26</v>
      </c>
      <c r="C105" s="33">
        <v>5000000</v>
      </c>
      <c r="D105" s="34">
        <v>5000000</v>
      </c>
      <c r="E105" s="56"/>
      <c r="F105" s="56"/>
      <c r="G105" s="56"/>
    </row>
    <row r="106" spans="1:7" ht="15" x14ac:dyDescent="0.25">
      <c r="A106" s="25"/>
      <c r="B106" s="25" t="s">
        <v>27</v>
      </c>
      <c r="C106" s="28">
        <v>6.5893368133647249E-3</v>
      </c>
      <c r="D106" s="29">
        <v>6.5893368133647249E-3</v>
      </c>
      <c r="E106" s="57"/>
      <c r="F106" s="57"/>
      <c r="G106" s="57"/>
    </row>
    <row r="107" spans="1:7" ht="15" x14ac:dyDescent="0.25">
      <c r="A107" s="25"/>
      <c r="B107" s="25" t="s">
        <v>28</v>
      </c>
      <c r="C107" s="38">
        <v>0</v>
      </c>
      <c r="D107" s="39">
        <v>0</v>
      </c>
      <c r="E107" s="53"/>
      <c r="F107" s="53"/>
      <c r="G107" s="53"/>
    </row>
    <row r="108" spans="1:7" ht="15" x14ac:dyDescent="0.25">
      <c r="A108" s="42" t="s">
        <v>32</v>
      </c>
      <c r="B108" s="21" t="s">
        <v>33</v>
      </c>
      <c r="C108" s="23">
        <v>-99.415139270771064</v>
      </c>
      <c r="D108" s="24">
        <v>-99.415139270771064</v>
      </c>
      <c r="E108" s="55"/>
      <c r="F108" s="55"/>
      <c r="G108" s="55"/>
    </row>
    <row r="109" spans="1:7" ht="15" x14ac:dyDescent="0.25">
      <c r="A109" s="43"/>
      <c r="B109" s="25" t="s">
        <v>34</v>
      </c>
      <c r="C109" s="26">
        <v>-415.80381999999997</v>
      </c>
      <c r="D109" s="27">
        <v>-415.80381999999997</v>
      </c>
      <c r="E109" s="55"/>
      <c r="F109" s="55"/>
      <c r="G109" s="55"/>
    </row>
    <row r="110" spans="1:7" ht="15" x14ac:dyDescent="0.25">
      <c r="A110" s="43"/>
      <c r="B110" s="25" t="s">
        <v>35</v>
      </c>
      <c r="C110" s="26">
        <v>5000</v>
      </c>
      <c r="D110" s="34">
        <v>5000</v>
      </c>
      <c r="E110" s="56"/>
      <c r="F110" s="56"/>
      <c r="G110" s="56"/>
    </row>
    <row r="111" spans="1:7" ht="15" x14ac:dyDescent="0.25">
      <c r="A111" s="25"/>
      <c r="B111" s="25" t="s">
        <v>27</v>
      </c>
      <c r="C111" s="44">
        <v>1.9883027854154214E-2</v>
      </c>
      <c r="D111" s="29">
        <v>1.9883027854154214E-2</v>
      </c>
      <c r="E111" s="57"/>
      <c r="F111" s="57"/>
      <c r="G111" s="57"/>
    </row>
    <row r="112" spans="1:7" ht="15" x14ac:dyDescent="0.25">
      <c r="A112" s="37"/>
      <c r="B112" s="37" t="s">
        <v>28</v>
      </c>
      <c r="C112" s="38">
        <v>0</v>
      </c>
      <c r="D112" s="39">
        <v>0</v>
      </c>
      <c r="E112" s="53"/>
      <c r="F112" s="53"/>
      <c r="G112" s="53"/>
    </row>
    <row r="113" spans="1:7" ht="15" x14ac:dyDescent="0.25">
      <c r="A113" s="21" t="s">
        <v>36</v>
      </c>
      <c r="B113" s="45" t="s">
        <v>37</v>
      </c>
      <c r="C113" s="23">
        <v>4898685.0628900006</v>
      </c>
      <c r="D113" s="24">
        <v>4898685.0628900006</v>
      </c>
      <c r="E113" s="55"/>
      <c r="F113" s="55"/>
      <c r="G113" s="55"/>
    </row>
    <row r="114" spans="1:7" ht="15" x14ac:dyDescent="0.25">
      <c r="A114" s="25"/>
      <c r="B114" s="46" t="s">
        <v>38</v>
      </c>
      <c r="C114" s="26">
        <v>1636580.43129</v>
      </c>
      <c r="D114" s="27">
        <v>1636580.43129</v>
      </c>
      <c r="E114" s="55"/>
      <c r="F114" s="55"/>
      <c r="G114" s="55"/>
    </row>
    <row r="115" spans="1:7" ht="15" x14ac:dyDescent="0.25">
      <c r="A115" s="43"/>
      <c r="B115" s="46" t="s">
        <v>25</v>
      </c>
      <c r="C115" s="26">
        <v>6535265.4941800004</v>
      </c>
      <c r="D115" s="27">
        <v>6535265.4941800004</v>
      </c>
      <c r="E115" s="55"/>
      <c r="F115" s="55"/>
      <c r="G115" s="55"/>
    </row>
    <row r="116" spans="1:7" ht="15" x14ac:dyDescent="0.25">
      <c r="A116" s="43"/>
      <c r="B116" s="46" t="s">
        <v>26</v>
      </c>
      <c r="C116" s="26">
        <v>-5000000</v>
      </c>
      <c r="D116" s="58"/>
      <c r="E116" s="56"/>
      <c r="F116" s="56"/>
      <c r="G116" s="56"/>
    </row>
    <row r="117" spans="1:7" ht="15" x14ac:dyDescent="0.25">
      <c r="A117" s="25"/>
      <c r="B117" s="46" t="s">
        <v>27</v>
      </c>
      <c r="C117" s="28">
        <v>0</v>
      </c>
      <c r="D117" s="58"/>
      <c r="E117" s="57"/>
      <c r="F117" s="57"/>
      <c r="G117" s="57"/>
    </row>
    <row r="118" spans="1:7" ht="15" x14ac:dyDescent="0.25">
      <c r="A118" s="25"/>
      <c r="B118" s="46" t="s">
        <v>28</v>
      </c>
      <c r="C118" s="47">
        <v>0</v>
      </c>
      <c r="D118" s="58"/>
      <c r="E118" s="53"/>
      <c r="F118" s="53"/>
      <c r="G118" s="53"/>
    </row>
    <row r="119" spans="1:7" ht="15" x14ac:dyDescent="0.25">
      <c r="A119" s="25"/>
      <c r="B119" s="46" t="s">
        <v>39</v>
      </c>
      <c r="C119" s="38">
        <v>31421.887600000016</v>
      </c>
      <c r="D119" s="39">
        <v>31421.887600000016</v>
      </c>
      <c r="E119" s="62"/>
      <c r="F119" s="62"/>
      <c r="G119" s="62"/>
    </row>
    <row r="120" spans="1:7" ht="15" x14ac:dyDescent="0.25">
      <c r="A120" s="21" t="s">
        <v>40</v>
      </c>
      <c r="B120" s="21" t="s">
        <v>37</v>
      </c>
      <c r="C120" s="23">
        <v>527429.15683000069</v>
      </c>
      <c r="D120" s="24">
        <v>527429.15683000069</v>
      </c>
      <c r="E120" s="55"/>
      <c r="F120" s="55"/>
      <c r="G120" s="55"/>
    </row>
    <row r="121" spans="1:7" ht="15" x14ac:dyDescent="0.25">
      <c r="A121" s="25"/>
      <c r="B121" s="25" t="s">
        <v>38</v>
      </c>
      <c r="C121" s="26">
        <v>-193397.50916999998</v>
      </c>
      <c r="D121" s="27">
        <v>-193397.50916999998</v>
      </c>
      <c r="E121" s="55"/>
      <c r="F121" s="55"/>
      <c r="G121" s="55"/>
    </row>
    <row r="122" spans="1:7" ht="15" x14ac:dyDescent="0.25">
      <c r="A122" s="43"/>
      <c r="B122" s="25" t="s">
        <v>25</v>
      </c>
      <c r="C122" s="26">
        <v>334031.64766000025</v>
      </c>
      <c r="D122" s="27">
        <v>334031.64766000025</v>
      </c>
      <c r="E122" s="55"/>
      <c r="F122" s="55"/>
      <c r="G122" s="55"/>
    </row>
    <row r="123" spans="1:7" ht="15" x14ac:dyDescent="0.25">
      <c r="A123" s="43"/>
      <c r="B123" s="25" t="s">
        <v>26</v>
      </c>
      <c r="C123" s="26">
        <v>-2500000</v>
      </c>
      <c r="D123" s="58"/>
      <c r="E123" s="56"/>
      <c r="F123" s="56"/>
      <c r="G123" s="56"/>
    </row>
    <row r="124" spans="1:7" ht="15" x14ac:dyDescent="0.25">
      <c r="A124" s="25"/>
      <c r="B124" s="25" t="s">
        <v>27</v>
      </c>
      <c r="C124" s="28">
        <v>0</v>
      </c>
      <c r="D124" s="58"/>
      <c r="E124" s="57"/>
      <c r="F124" s="57"/>
      <c r="G124" s="57"/>
    </row>
    <row r="125" spans="1:7" ht="15" x14ac:dyDescent="0.25">
      <c r="A125" s="37"/>
      <c r="B125" s="37" t="s">
        <v>28</v>
      </c>
      <c r="C125" s="49">
        <v>0</v>
      </c>
      <c r="D125" s="40"/>
      <c r="E125" s="53"/>
      <c r="F125" s="53"/>
      <c r="G125" s="53"/>
    </row>
    <row r="126" spans="1:7" x14ac:dyDescent="0.3">
      <c r="A126" s="51" t="s">
        <v>46</v>
      </c>
    </row>
    <row r="129" spans="1:5" ht="18" x14ac:dyDescent="0.3">
      <c r="A129" s="11" t="s">
        <v>48</v>
      </c>
      <c r="B129" s="12"/>
      <c r="C129" s="13"/>
      <c r="E129" s="13"/>
    </row>
    <row r="130" spans="1:5" x14ac:dyDescent="0.3">
      <c r="A130" s="17"/>
      <c r="B130" s="12"/>
      <c r="C130" s="13"/>
      <c r="D130" s="13"/>
      <c r="E130" s="13"/>
    </row>
    <row r="131" spans="1:5" x14ac:dyDescent="0.3">
      <c r="A131" s="12" t="s">
        <v>49</v>
      </c>
      <c r="B131" s="63">
        <v>30.785</v>
      </c>
      <c r="C131" s="13"/>
      <c r="D131" s="13"/>
      <c r="E131" s="13"/>
    </row>
    <row r="132" spans="1:5" x14ac:dyDescent="0.3">
      <c r="A132" s="59" t="s">
        <v>16</v>
      </c>
      <c r="B132" s="64">
        <v>7.3604303599999996</v>
      </c>
      <c r="C132" s="13"/>
      <c r="D132" s="13"/>
      <c r="E132" s="13"/>
    </row>
    <row r="133" spans="1:5" x14ac:dyDescent="0.3">
      <c r="A133" s="12"/>
      <c r="B133" s="18"/>
      <c r="C133" s="13"/>
      <c r="D133" s="13"/>
      <c r="E133" s="13"/>
    </row>
    <row r="134" spans="1:5" ht="30" x14ac:dyDescent="0.3">
      <c r="A134" s="19" t="s">
        <v>17</v>
      </c>
      <c r="B134" s="20" t="s">
        <v>18</v>
      </c>
      <c r="C134" s="20" t="s">
        <v>43</v>
      </c>
      <c r="D134" s="20" t="s">
        <v>44</v>
      </c>
      <c r="E134" s="20" t="s">
        <v>45</v>
      </c>
    </row>
    <row r="135" spans="1:5" x14ac:dyDescent="0.3">
      <c r="A135" s="21" t="s">
        <v>50</v>
      </c>
      <c r="B135" s="22" t="s">
        <v>25</v>
      </c>
      <c r="C135" s="23">
        <v>-237997</v>
      </c>
      <c r="D135" s="24">
        <v>-220346</v>
      </c>
      <c r="E135" s="24">
        <v>-89383</v>
      </c>
    </row>
    <row r="136" spans="1:5" x14ac:dyDescent="0.3">
      <c r="A136" s="25"/>
      <c r="B136" s="22" t="s">
        <v>26</v>
      </c>
      <c r="C136" s="26">
        <v>-35000000</v>
      </c>
      <c r="D136" s="27">
        <v>-7350000</v>
      </c>
      <c r="E136" s="27">
        <v>-27650000</v>
      </c>
    </row>
    <row r="137" spans="1:5" x14ac:dyDescent="0.3">
      <c r="A137" s="25"/>
      <c r="B137" s="22" t="s">
        <v>27</v>
      </c>
      <c r="C137" s="28">
        <v>6.7999142857142853E-3</v>
      </c>
      <c r="D137" s="29">
        <v>2.997904761904762E-2</v>
      </c>
      <c r="E137" s="29">
        <v>3.2326582278481013E-3</v>
      </c>
    </row>
    <row r="138" spans="1:5" x14ac:dyDescent="0.3">
      <c r="A138" s="25"/>
      <c r="B138" s="22" t="s">
        <v>28</v>
      </c>
      <c r="C138" s="26">
        <v>0</v>
      </c>
      <c r="D138" s="27">
        <v>0</v>
      </c>
      <c r="E138" s="27">
        <v>0</v>
      </c>
    </row>
    <row r="139" spans="1:5" x14ac:dyDescent="0.3">
      <c r="A139" s="21" t="s">
        <v>51</v>
      </c>
      <c r="B139" s="21" t="s">
        <v>25</v>
      </c>
      <c r="C139" s="30">
        <v>-35076.483933000003</v>
      </c>
      <c r="D139" s="24">
        <v>-35076.483933000003</v>
      </c>
      <c r="E139" s="32"/>
    </row>
    <row r="140" spans="1:5" x14ac:dyDescent="0.3">
      <c r="A140" s="25"/>
      <c r="B140" s="25" t="s">
        <v>26</v>
      </c>
      <c r="C140" s="33">
        <v>4700000</v>
      </c>
      <c r="D140" s="34">
        <v>4700000</v>
      </c>
      <c r="E140" s="58"/>
    </row>
    <row r="141" spans="1:5" x14ac:dyDescent="0.3">
      <c r="A141" s="25"/>
      <c r="B141" s="25" t="s">
        <v>27</v>
      </c>
      <c r="C141" s="28">
        <v>7.4630816878723414E-3</v>
      </c>
      <c r="D141" s="29">
        <v>7.4630816878723414E-3</v>
      </c>
      <c r="E141" s="36"/>
    </row>
    <row r="142" spans="1:5" x14ac:dyDescent="0.3">
      <c r="A142" s="37"/>
      <c r="B142" s="37" t="s">
        <v>28</v>
      </c>
      <c r="C142" s="38">
        <v>0</v>
      </c>
      <c r="D142" s="39">
        <v>0</v>
      </c>
      <c r="E142" s="58"/>
    </row>
    <row r="143" spans="1:5" x14ac:dyDescent="0.3">
      <c r="A143" s="21" t="s">
        <v>52</v>
      </c>
      <c r="B143" s="21" t="s">
        <v>25</v>
      </c>
      <c r="C143" s="23">
        <v>26838</v>
      </c>
      <c r="D143" s="24">
        <v>37259</v>
      </c>
      <c r="E143" s="24">
        <v>-10420</v>
      </c>
    </row>
    <row r="144" spans="1:5" x14ac:dyDescent="0.3">
      <c r="A144" s="25"/>
      <c r="B144" s="25" t="s">
        <v>26</v>
      </c>
      <c r="C144" s="33">
        <v>4500000</v>
      </c>
      <c r="D144" s="34">
        <v>945000</v>
      </c>
      <c r="E144" s="34">
        <v>3555000</v>
      </c>
    </row>
    <row r="145" spans="1:5" x14ac:dyDescent="0.3">
      <c r="A145" s="25"/>
      <c r="B145" s="25" t="s">
        <v>27</v>
      </c>
      <c r="C145" s="28">
        <v>5.9639999999999997E-3</v>
      </c>
      <c r="D145" s="29">
        <v>3.9427513227513228E-2</v>
      </c>
      <c r="E145" s="29">
        <v>2.9310829817158933E-3</v>
      </c>
    </row>
    <row r="146" spans="1:5" x14ac:dyDescent="0.3">
      <c r="A146" s="37"/>
      <c r="B146" s="37" t="s">
        <v>28</v>
      </c>
      <c r="C146" s="38">
        <v>0</v>
      </c>
      <c r="D146" s="39">
        <v>0</v>
      </c>
      <c r="E146" s="39">
        <v>0</v>
      </c>
    </row>
    <row r="147" spans="1:5" x14ac:dyDescent="0.3">
      <c r="A147" s="42" t="s">
        <v>31</v>
      </c>
      <c r="B147" s="21" t="s">
        <v>25</v>
      </c>
      <c r="C147" s="26">
        <v>0</v>
      </c>
      <c r="D147" s="24">
        <v>0</v>
      </c>
      <c r="E147" s="24">
        <v>0</v>
      </c>
    </row>
    <row r="148" spans="1:5" x14ac:dyDescent="0.3">
      <c r="A148" s="43"/>
      <c r="B148" s="25" t="s">
        <v>26</v>
      </c>
      <c r="C148" s="33">
        <v>5000000</v>
      </c>
      <c r="D148" s="34">
        <v>1050000</v>
      </c>
      <c r="E148" s="34">
        <v>3950000</v>
      </c>
    </row>
    <row r="149" spans="1:5" x14ac:dyDescent="0.3">
      <c r="A149" s="25"/>
      <c r="B149" s="25" t="s">
        <v>27</v>
      </c>
      <c r="C149" s="28">
        <v>0</v>
      </c>
      <c r="D149" s="29">
        <v>0</v>
      </c>
      <c r="E149" s="29">
        <v>0</v>
      </c>
    </row>
    <row r="150" spans="1:5" x14ac:dyDescent="0.3">
      <c r="A150" s="25"/>
      <c r="B150" s="25" t="s">
        <v>28</v>
      </c>
      <c r="C150" s="38">
        <v>0</v>
      </c>
      <c r="D150" s="39">
        <v>0</v>
      </c>
      <c r="E150" s="39">
        <v>0</v>
      </c>
    </row>
    <row r="151" spans="1:5" x14ac:dyDescent="0.3">
      <c r="A151" s="42" t="s">
        <v>32</v>
      </c>
      <c r="B151" s="21" t="s">
        <v>33</v>
      </c>
      <c r="C151" s="23">
        <v>-14.759862270586325</v>
      </c>
      <c r="D151" s="24">
        <v>-0.39131525093389635</v>
      </c>
      <c r="E151" s="24">
        <v>-14.368369010881922</v>
      </c>
    </row>
    <row r="152" spans="1:5" x14ac:dyDescent="0.3">
      <c r="A152" s="43"/>
      <c r="B152" s="25" t="s">
        <v>34</v>
      </c>
      <c r="C152" s="26">
        <v>-454.38236000000001</v>
      </c>
      <c r="D152" s="27">
        <v>-12.04664</v>
      </c>
      <c r="E152" s="27">
        <v>-442.33024</v>
      </c>
    </row>
    <row r="153" spans="1:5" x14ac:dyDescent="0.3">
      <c r="A153" s="43"/>
      <c r="B153" s="25" t="s">
        <v>35</v>
      </c>
      <c r="C153" s="26">
        <v>1500</v>
      </c>
      <c r="D153" s="34">
        <v>315</v>
      </c>
      <c r="E153" s="34">
        <v>1185</v>
      </c>
    </row>
    <row r="154" spans="1:5" x14ac:dyDescent="0.3">
      <c r="A154" s="25"/>
      <c r="B154" s="25" t="s">
        <v>27</v>
      </c>
      <c r="C154" s="44">
        <v>9.8399081803908824E-3</v>
      </c>
      <c r="D154" s="29">
        <v>1.2422706378853853E-3</v>
      </c>
      <c r="E154" s="29">
        <v>1.2125205916356052E-2</v>
      </c>
    </row>
    <row r="155" spans="1:5" x14ac:dyDescent="0.3">
      <c r="A155" s="37"/>
      <c r="B155" s="37" t="s">
        <v>28</v>
      </c>
      <c r="C155" s="38">
        <v>0</v>
      </c>
      <c r="D155" s="39">
        <v>0</v>
      </c>
      <c r="E155" s="39">
        <v>0</v>
      </c>
    </row>
    <row r="156" spans="1:5" x14ac:dyDescent="0.3">
      <c r="A156" s="21" t="s">
        <v>53</v>
      </c>
      <c r="B156" s="45" t="s">
        <v>37</v>
      </c>
      <c r="C156" s="23">
        <v>17049149.752460003</v>
      </c>
      <c r="D156" s="24">
        <v>1738995.47156</v>
      </c>
      <c r="E156" s="24">
        <v>15310154.280890001</v>
      </c>
    </row>
    <row r="157" spans="1:5" x14ac:dyDescent="0.3">
      <c r="A157" s="25"/>
      <c r="B157" s="46" t="s">
        <v>38</v>
      </c>
      <c r="C157" s="26">
        <v>8588722.0216199998</v>
      </c>
      <c r="D157" s="27">
        <v>187384.96051</v>
      </c>
      <c r="E157" s="27">
        <v>8401337.0611099992</v>
      </c>
    </row>
    <row r="158" spans="1:5" x14ac:dyDescent="0.3">
      <c r="A158" s="43"/>
      <c r="B158" s="46" t="s">
        <v>25</v>
      </c>
      <c r="C158" s="26">
        <v>25637871.774080001</v>
      </c>
      <c r="D158" s="27">
        <v>1926380.4320700001</v>
      </c>
      <c r="E158" s="27">
        <v>23711491.342</v>
      </c>
    </row>
    <row r="159" spans="1:5" x14ac:dyDescent="0.3">
      <c r="A159" s="43"/>
      <c r="B159" s="46" t="s">
        <v>26</v>
      </c>
      <c r="C159" s="26">
        <v>-76050000</v>
      </c>
      <c r="D159" s="58"/>
      <c r="E159" s="58"/>
    </row>
    <row r="160" spans="1:5" x14ac:dyDescent="0.3">
      <c r="A160" s="25"/>
      <c r="B160" s="46" t="s">
        <v>27</v>
      </c>
      <c r="C160" s="28">
        <v>0</v>
      </c>
      <c r="D160" s="36"/>
      <c r="E160" s="36"/>
    </row>
    <row r="161" spans="1:5" x14ac:dyDescent="0.3">
      <c r="A161" s="25"/>
      <c r="B161" s="46" t="s">
        <v>28</v>
      </c>
      <c r="C161" s="47">
        <v>0</v>
      </c>
      <c r="D161" s="65"/>
      <c r="E161" s="65"/>
    </row>
    <row r="162" spans="1:5" x14ac:dyDescent="0.3">
      <c r="A162" s="25"/>
      <c r="B162" s="46" t="s">
        <v>39</v>
      </c>
      <c r="C162" s="38">
        <v>243209.2546400018</v>
      </c>
      <c r="D162" s="39">
        <v>-5840.7453699999023</v>
      </c>
      <c r="E162" s="39">
        <v>249050</v>
      </c>
    </row>
    <row r="163" spans="1:5" x14ac:dyDescent="0.3">
      <c r="A163" s="21" t="s">
        <v>54</v>
      </c>
      <c r="B163" s="21" t="s">
        <v>37</v>
      </c>
      <c r="C163" s="23">
        <v>-195006.83930999786</v>
      </c>
      <c r="D163" s="24">
        <v>40622.581690000137</v>
      </c>
      <c r="E163" s="24">
        <v>-235629.42101000063</v>
      </c>
    </row>
    <row r="164" spans="1:5" x14ac:dyDescent="0.3">
      <c r="A164" s="25"/>
      <c r="B164" s="25" t="s">
        <v>38</v>
      </c>
      <c r="C164" s="26">
        <v>-1353299.4863799997</v>
      </c>
      <c r="D164" s="27">
        <v>72808.857610000006</v>
      </c>
      <c r="E164" s="27">
        <v>-1426108.34399</v>
      </c>
    </row>
    <row r="165" spans="1:5" x14ac:dyDescent="0.3">
      <c r="A165" s="43"/>
      <c r="B165" s="25" t="s">
        <v>25</v>
      </c>
      <c r="C165" s="26">
        <v>-1548306.3256899975</v>
      </c>
      <c r="D165" s="58"/>
      <c r="E165" s="58"/>
    </row>
    <row r="166" spans="1:5" x14ac:dyDescent="0.3">
      <c r="A166" s="43"/>
      <c r="B166" s="25" t="s">
        <v>26</v>
      </c>
      <c r="C166" s="26">
        <v>-46800000</v>
      </c>
      <c r="D166" s="58"/>
      <c r="E166" s="58"/>
    </row>
    <row r="167" spans="1:5" x14ac:dyDescent="0.3">
      <c r="A167" s="25"/>
      <c r="B167" s="25" t="s">
        <v>27</v>
      </c>
      <c r="C167" s="28">
        <v>3.3083468497649517E-2</v>
      </c>
      <c r="D167" s="36"/>
      <c r="E167" s="36"/>
    </row>
    <row r="168" spans="1:5" x14ac:dyDescent="0.3">
      <c r="A168" s="37"/>
      <c r="B168" s="37" t="s">
        <v>28</v>
      </c>
      <c r="C168" s="49">
        <v>0</v>
      </c>
      <c r="D168" s="66"/>
      <c r="E168" s="66"/>
    </row>
    <row r="169" spans="1:5" x14ac:dyDescent="0.3">
      <c r="A169" s="51" t="s">
        <v>46</v>
      </c>
    </row>
  </sheetData>
  <conditionalFormatting sqref="E111:F111">
    <cfRule type="cellIs" dxfId="496" priority="354" operator="greaterThanOrEqual">
      <formula>1</formula>
    </cfRule>
  </conditionalFormatting>
  <conditionalFormatting sqref="C15:F15">
    <cfRule type="cellIs" dxfId="495" priority="350" operator="lessThan">
      <formula>0</formula>
    </cfRule>
  </conditionalFormatting>
  <conditionalFormatting sqref="D27:F27">
    <cfRule type="cellIs" dxfId="494" priority="336" operator="greaterThan">
      <formula>0.6999</formula>
    </cfRule>
  </conditionalFormatting>
  <conditionalFormatting sqref="D33:F33">
    <cfRule type="cellIs" dxfId="493" priority="334" operator="greaterThan">
      <formula>0.6999</formula>
    </cfRule>
  </conditionalFormatting>
  <conditionalFormatting sqref="F57 F53:F54">
    <cfRule type="cellIs" dxfId="492" priority="417" operator="lessThan">
      <formula>0</formula>
    </cfRule>
  </conditionalFormatting>
  <conditionalFormatting sqref="F61">
    <cfRule type="cellIs" dxfId="491" priority="416" operator="lessThan">
      <formula>0</formula>
    </cfRule>
  </conditionalFormatting>
  <conditionalFormatting sqref="F65">
    <cfRule type="cellIs" dxfId="490" priority="415" operator="lessThan">
      <formula>0</formula>
    </cfRule>
  </conditionalFormatting>
  <conditionalFormatting sqref="F70">
    <cfRule type="cellIs" dxfId="489" priority="414" operator="lessThan">
      <formula>0</formula>
    </cfRule>
  </conditionalFormatting>
  <conditionalFormatting sqref="F78:F80">
    <cfRule type="cellIs" dxfId="488" priority="413" operator="lessThan">
      <formula>-0.01</formula>
    </cfRule>
  </conditionalFormatting>
  <conditionalFormatting sqref="F77 E119:F119">
    <cfRule type="cellIs" dxfId="487" priority="412" operator="lessThan">
      <formula>-0.1</formula>
    </cfRule>
  </conditionalFormatting>
  <conditionalFormatting sqref="F76">
    <cfRule type="cellIs" dxfId="486" priority="409" operator="notEqual">
      <formula>0</formula>
    </cfRule>
    <cfRule type="cellIs" dxfId="485" priority="411" operator="notEqual">
      <formula>0</formula>
    </cfRule>
  </conditionalFormatting>
  <conditionalFormatting sqref="F83">
    <cfRule type="cellIs" dxfId="484" priority="410" operator="notEqual">
      <formula>0</formula>
    </cfRule>
  </conditionalFormatting>
  <conditionalFormatting sqref="C11:F11">
    <cfRule type="cellIs" dxfId="483" priority="408" operator="lessThan">
      <formula>0</formula>
    </cfRule>
  </conditionalFormatting>
  <conditionalFormatting sqref="D19:F19">
    <cfRule type="cellIs" dxfId="482" priority="407" operator="lessThan">
      <formula>0</formula>
    </cfRule>
  </conditionalFormatting>
  <conditionalFormatting sqref="C23:F23">
    <cfRule type="cellIs" dxfId="481" priority="406" operator="lessThan">
      <formula>0</formula>
    </cfRule>
  </conditionalFormatting>
  <conditionalFormatting sqref="C28:F28">
    <cfRule type="cellIs" dxfId="480" priority="405" operator="lessThan">
      <formula>0</formula>
    </cfRule>
  </conditionalFormatting>
  <conditionalFormatting sqref="C34:F35 C42:F44">
    <cfRule type="cellIs" dxfId="479" priority="404" operator="lessThan">
      <formula>-0.1</formula>
    </cfRule>
  </conditionalFormatting>
  <conditionalFormatting sqref="F83">
    <cfRule type="cellIs" dxfId="478" priority="403" operator="lessThan">
      <formula>-0.1</formula>
    </cfRule>
  </conditionalFormatting>
  <conditionalFormatting sqref="F70">
    <cfRule type="cellIs" dxfId="477" priority="402" operator="notEqual">
      <formula>0</formula>
    </cfRule>
  </conditionalFormatting>
  <conditionalFormatting sqref="F70">
    <cfRule type="cellIs" dxfId="476" priority="401" operator="lessThan">
      <formula>-0.1</formula>
    </cfRule>
  </conditionalFormatting>
  <conditionalFormatting sqref="F65">
    <cfRule type="cellIs" dxfId="475" priority="400" operator="lessThan">
      <formula>0</formula>
    </cfRule>
  </conditionalFormatting>
  <conditionalFormatting sqref="F65">
    <cfRule type="cellIs" dxfId="474" priority="399" operator="notEqual">
      <formula>0</formula>
    </cfRule>
  </conditionalFormatting>
  <conditionalFormatting sqref="F65">
    <cfRule type="cellIs" dxfId="473" priority="398" operator="lessThan">
      <formula>-0.1</formula>
    </cfRule>
  </conditionalFormatting>
  <conditionalFormatting sqref="F61">
    <cfRule type="cellIs" dxfId="472" priority="397" operator="lessThan">
      <formula>0</formula>
    </cfRule>
  </conditionalFormatting>
  <conditionalFormatting sqref="F61">
    <cfRule type="cellIs" dxfId="471" priority="396" operator="lessThan">
      <formula>0</formula>
    </cfRule>
  </conditionalFormatting>
  <conditionalFormatting sqref="F61">
    <cfRule type="cellIs" dxfId="470" priority="395" operator="notEqual">
      <formula>0</formula>
    </cfRule>
  </conditionalFormatting>
  <conditionalFormatting sqref="F61">
    <cfRule type="cellIs" dxfId="469" priority="394" operator="lessThan">
      <formula>-0.1</formula>
    </cfRule>
  </conditionalFormatting>
  <conditionalFormatting sqref="C28:F28">
    <cfRule type="cellIs" dxfId="468" priority="393" operator="lessThan">
      <formula>-0.1</formula>
    </cfRule>
  </conditionalFormatting>
  <conditionalFormatting sqref="C23:F23">
    <cfRule type="cellIs" dxfId="467" priority="392" operator="lessThan">
      <formula>0</formula>
    </cfRule>
  </conditionalFormatting>
  <conditionalFormatting sqref="C23:F23">
    <cfRule type="cellIs" dxfId="466" priority="391" operator="lessThan">
      <formula>-0.1</formula>
    </cfRule>
  </conditionalFormatting>
  <conditionalFormatting sqref="D19:F19">
    <cfRule type="cellIs" dxfId="465" priority="390" operator="lessThan">
      <formula>0</formula>
    </cfRule>
  </conditionalFormatting>
  <conditionalFormatting sqref="D19:F19">
    <cfRule type="cellIs" dxfId="464" priority="389" operator="lessThan">
      <formula>0</formula>
    </cfRule>
  </conditionalFormatting>
  <conditionalFormatting sqref="D19:F19">
    <cfRule type="cellIs" dxfId="463" priority="388" operator="lessThan">
      <formula>-0.1</formula>
    </cfRule>
  </conditionalFormatting>
  <conditionalFormatting sqref="F77">
    <cfRule type="cellIs" dxfId="462" priority="387" operator="lessThan">
      <formula>-0.1</formula>
    </cfRule>
  </conditionalFormatting>
  <conditionalFormatting sqref="C35:F35">
    <cfRule type="cellIs" dxfId="461" priority="386" operator="lessThan">
      <formula>-0.1</formula>
    </cfRule>
  </conditionalFormatting>
  <conditionalFormatting sqref="C35:F35">
    <cfRule type="cellIs" dxfId="460" priority="385" operator="lessThan">
      <formula>-0.1</formula>
    </cfRule>
  </conditionalFormatting>
  <conditionalFormatting sqref="C22 F82 F75 F69 F64 F60 F52">
    <cfRule type="cellIs" dxfId="459" priority="384" operator="greaterThanOrEqual">
      <formula>1</formula>
    </cfRule>
  </conditionalFormatting>
  <conditionalFormatting sqref="C10:F10 C27 C33">
    <cfRule type="cellIs" dxfId="458" priority="383" operator="greaterThan">
      <formula>0.6999</formula>
    </cfRule>
  </conditionalFormatting>
  <conditionalFormatting sqref="C10:F10 C22 C27 C33 F82 F75 F69 F64 F60 F52 E106:F106 E124:F124 E117:F117 E94:F94">
    <cfRule type="cellIs" dxfId="457" priority="382" operator="greaterThan">
      <formula>0.6999</formula>
    </cfRule>
  </conditionalFormatting>
  <conditionalFormatting sqref="E95:F95">
    <cfRule type="cellIs" dxfId="456" priority="381" operator="lessThan">
      <formula>0</formula>
    </cfRule>
  </conditionalFormatting>
  <conditionalFormatting sqref="E103:F103">
    <cfRule type="cellIs" dxfId="455" priority="380" operator="lessThan">
      <formula>0</formula>
    </cfRule>
  </conditionalFormatting>
  <conditionalFormatting sqref="E107:F107">
    <cfRule type="cellIs" dxfId="454" priority="379" operator="lessThan">
      <formula>0</formula>
    </cfRule>
  </conditionalFormatting>
  <conditionalFormatting sqref="E112:F112">
    <cfRule type="cellIs" dxfId="453" priority="378" operator="lessThan">
      <formula>0</formula>
    </cfRule>
  </conditionalFormatting>
  <conditionalFormatting sqref="E118:F118">
    <cfRule type="cellIs" dxfId="452" priority="377" operator="notEqual">
      <formula>0</formula>
    </cfRule>
  </conditionalFormatting>
  <conditionalFormatting sqref="E125:F125">
    <cfRule type="cellIs" dxfId="451" priority="376" operator="notEqual">
      <formula>0</formula>
    </cfRule>
  </conditionalFormatting>
  <conditionalFormatting sqref="E118:F118">
    <cfRule type="cellIs" dxfId="450" priority="375" operator="notEqual">
      <formula>0</formula>
    </cfRule>
  </conditionalFormatting>
  <conditionalFormatting sqref="E125:F125">
    <cfRule type="cellIs" dxfId="449" priority="374" operator="lessThan">
      <formula>-0.1</formula>
    </cfRule>
  </conditionalFormatting>
  <conditionalFormatting sqref="E112:F112">
    <cfRule type="cellIs" dxfId="448" priority="373" operator="notEqual">
      <formula>0</formula>
    </cfRule>
  </conditionalFormatting>
  <conditionalFormatting sqref="E112:F112">
    <cfRule type="cellIs" dxfId="447" priority="372" operator="lessThan">
      <formula>-0.1</formula>
    </cfRule>
  </conditionalFormatting>
  <conditionalFormatting sqref="E107:F107">
    <cfRule type="cellIs" dxfId="446" priority="371" operator="lessThan">
      <formula>0</formula>
    </cfRule>
  </conditionalFormatting>
  <conditionalFormatting sqref="E107:F107">
    <cfRule type="cellIs" dxfId="445" priority="370" operator="notEqual">
      <formula>0</formula>
    </cfRule>
  </conditionalFormatting>
  <conditionalFormatting sqref="E107:F107">
    <cfRule type="cellIs" dxfId="444" priority="369" operator="lessThan">
      <formula>-0.1</formula>
    </cfRule>
  </conditionalFormatting>
  <conditionalFormatting sqref="E103:F103">
    <cfRule type="cellIs" dxfId="443" priority="368" operator="lessThan">
      <formula>0</formula>
    </cfRule>
  </conditionalFormatting>
  <conditionalFormatting sqref="E103:F103">
    <cfRule type="cellIs" dxfId="442" priority="367" operator="lessThan">
      <formula>0</formula>
    </cfRule>
  </conditionalFormatting>
  <conditionalFormatting sqref="E103:F103">
    <cfRule type="cellIs" dxfId="441" priority="366" operator="notEqual">
      <formula>0</formula>
    </cfRule>
  </conditionalFormatting>
  <conditionalFormatting sqref="E103:F103">
    <cfRule type="cellIs" dxfId="440" priority="365" operator="lessThan">
      <formula>-0.1</formula>
    </cfRule>
  </conditionalFormatting>
  <conditionalFormatting sqref="E106:F106 E94:F94">
    <cfRule type="cellIs" dxfId="439" priority="364" operator="greaterThanOrEqual">
      <formula>1</formula>
    </cfRule>
  </conditionalFormatting>
  <conditionalFormatting sqref="E106:F106 E94:F94">
    <cfRule type="cellIs" dxfId="438" priority="363" operator="greaterThan">
      <formula>0.6999</formula>
    </cfRule>
  </conditionalFormatting>
  <conditionalFormatting sqref="E117:F117">
    <cfRule type="cellIs" dxfId="437" priority="362" operator="greaterThanOrEqual">
      <formula>1</formula>
    </cfRule>
  </conditionalFormatting>
  <conditionalFormatting sqref="E117:F117">
    <cfRule type="cellIs" dxfId="436" priority="361" operator="greaterThan">
      <formula>0.6999</formula>
    </cfRule>
  </conditionalFormatting>
  <conditionalFormatting sqref="E124:F124">
    <cfRule type="cellIs" dxfId="435" priority="360" operator="greaterThanOrEqual">
      <formula>1</formula>
    </cfRule>
  </conditionalFormatting>
  <conditionalFormatting sqref="E124:F124">
    <cfRule type="cellIs" dxfId="434" priority="359" operator="greaterThan">
      <formula>0.6999</formula>
    </cfRule>
  </conditionalFormatting>
  <conditionalFormatting sqref="E106:F106">
    <cfRule type="cellIs" dxfId="433" priority="358" operator="greaterThanOrEqual">
      <formula>1</formula>
    </cfRule>
  </conditionalFormatting>
  <conditionalFormatting sqref="E106:F106">
    <cfRule type="cellIs" dxfId="432" priority="357" operator="greaterThan">
      <formula>0.6999</formula>
    </cfRule>
  </conditionalFormatting>
  <conditionalFormatting sqref="E102:F102">
    <cfRule type="cellIs" dxfId="431" priority="356" operator="greaterThanOrEqual">
      <formula>1</formula>
    </cfRule>
  </conditionalFormatting>
  <conditionalFormatting sqref="E102:F102">
    <cfRule type="cellIs" dxfId="430" priority="355" operator="greaterThan">
      <formula>0.6999</formula>
    </cfRule>
  </conditionalFormatting>
  <conditionalFormatting sqref="E111:F111">
    <cfRule type="cellIs" dxfId="429" priority="353" operator="greaterThan">
      <formula>0.6999</formula>
    </cfRule>
  </conditionalFormatting>
  <conditionalFormatting sqref="F56">
    <cfRule type="cellIs" dxfId="428" priority="352" operator="greaterThanOrEqual">
      <formula>1</formula>
    </cfRule>
  </conditionalFormatting>
  <conditionalFormatting sqref="F56">
    <cfRule type="cellIs" dxfId="427" priority="351" operator="greaterThan">
      <formula>0.6999</formula>
    </cfRule>
  </conditionalFormatting>
  <conditionalFormatting sqref="C14">
    <cfRule type="cellIs" dxfId="426" priority="349" operator="greaterThanOrEqual">
      <formula>1</formula>
    </cfRule>
  </conditionalFormatting>
  <conditionalFormatting sqref="C14">
    <cfRule type="cellIs" dxfId="425" priority="348" operator="greaterThan">
      <formula>0.6999</formula>
    </cfRule>
  </conditionalFormatting>
  <conditionalFormatting sqref="E96:F96 E99:F99">
    <cfRule type="cellIs" dxfId="424" priority="347" operator="lessThan">
      <formula>0</formula>
    </cfRule>
  </conditionalFormatting>
  <conditionalFormatting sqref="E98:F98">
    <cfRule type="cellIs" dxfId="423" priority="346" operator="greaterThanOrEqual">
      <formula>1</formula>
    </cfRule>
  </conditionalFormatting>
  <conditionalFormatting sqref="E98:F98">
    <cfRule type="cellIs" dxfId="422" priority="345" operator="greaterThan">
      <formula>0.6999</formula>
    </cfRule>
  </conditionalFormatting>
  <conditionalFormatting sqref="C12:F12">
    <cfRule type="cellIs" dxfId="421" priority="344" operator="lessThan">
      <formula>-0.1</formula>
    </cfRule>
  </conditionalFormatting>
  <conditionalFormatting sqref="C57:D57">
    <cfRule type="cellIs" dxfId="420" priority="200" operator="lessThan">
      <formula>0</formula>
    </cfRule>
  </conditionalFormatting>
  <conditionalFormatting sqref="D58:E58">
    <cfRule type="cellIs" dxfId="419" priority="187" operator="lessThan">
      <formula>-0.1</formula>
    </cfRule>
  </conditionalFormatting>
  <conditionalFormatting sqref="D62:E62">
    <cfRule type="cellIs" dxfId="418" priority="186" operator="lessThan">
      <formula>-0.1</formula>
    </cfRule>
  </conditionalFormatting>
  <conditionalFormatting sqref="G19">
    <cfRule type="cellIs" dxfId="417" priority="305" operator="lessThan">
      <formula>0</formula>
    </cfRule>
  </conditionalFormatting>
  <conditionalFormatting sqref="G125">
    <cfRule type="cellIs" dxfId="416" priority="292" operator="notEqual">
      <formula>0</formula>
    </cfRule>
  </conditionalFormatting>
  <conditionalFormatting sqref="D14:F14">
    <cfRule type="cellIs" dxfId="415" priority="343" operator="greaterThan">
      <formula>0.6999</formula>
    </cfRule>
  </conditionalFormatting>
  <conditionalFormatting sqref="D14:F14">
    <cfRule type="cellIs" dxfId="414" priority="342" operator="greaterThan">
      <formula>0.6999</formula>
    </cfRule>
  </conditionalFormatting>
  <conditionalFormatting sqref="D18:F18">
    <cfRule type="cellIs" dxfId="413" priority="341" operator="greaterThan">
      <formula>0.6999</formula>
    </cfRule>
  </conditionalFormatting>
  <conditionalFormatting sqref="D18:F18">
    <cfRule type="cellIs" dxfId="412" priority="340" operator="greaterThan">
      <formula>0.6999</formula>
    </cfRule>
  </conditionalFormatting>
  <conditionalFormatting sqref="D22:F22">
    <cfRule type="cellIs" dxfId="411" priority="339" operator="greaterThan">
      <formula>0.6999</formula>
    </cfRule>
  </conditionalFormatting>
  <conditionalFormatting sqref="D22:F22">
    <cfRule type="cellIs" dxfId="410" priority="338" operator="greaterThan">
      <formula>0.6999</formula>
    </cfRule>
  </conditionalFormatting>
  <conditionalFormatting sqref="D27:F27">
    <cfRule type="cellIs" dxfId="409" priority="337" operator="greaterThan">
      <formula>0.6999</formula>
    </cfRule>
  </conditionalFormatting>
  <conditionalFormatting sqref="D33:F33">
    <cfRule type="cellIs" dxfId="408" priority="335" operator="greaterThan">
      <formula>0.6999</formula>
    </cfRule>
  </conditionalFormatting>
  <conditionalFormatting sqref="G111">
    <cfRule type="cellIs" dxfId="407" priority="270" operator="greaterThanOrEqual">
      <formula>1</formula>
    </cfRule>
  </conditionalFormatting>
  <conditionalFormatting sqref="G27">
    <cfRule type="cellIs" dxfId="406" priority="258" operator="greaterThan">
      <formula>0.6999</formula>
    </cfRule>
  </conditionalFormatting>
  <conditionalFormatting sqref="G33">
    <cfRule type="cellIs" dxfId="405" priority="256" operator="greaterThan">
      <formula>0.6999</formula>
    </cfRule>
  </conditionalFormatting>
  <conditionalFormatting sqref="G53:G54 G57">
    <cfRule type="cellIs" dxfId="404" priority="333" operator="lessThan">
      <formula>0</formula>
    </cfRule>
  </conditionalFormatting>
  <conditionalFormatting sqref="G61">
    <cfRule type="cellIs" dxfId="403" priority="332" operator="lessThan">
      <formula>0</formula>
    </cfRule>
  </conditionalFormatting>
  <conditionalFormatting sqref="G65">
    <cfRule type="cellIs" dxfId="402" priority="331" operator="lessThan">
      <formula>0</formula>
    </cfRule>
  </conditionalFormatting>
  <conditionalFormatting sqref="G70">
    <cfRule type="cellIs" dxfId="401" priority="330" operator="lessThan">
      <formula>0</formula>
    </cfRule>
  </conditionalFormatting>
  <conditionalFormatting sqref="G78:G80">
    <cfRule type="cellIs" dxfId="400" priority="329" operator="lessThan">
      <formula>-0.01</formula>
    </cfRule>
  </conditionalFormatting>
  <conditionalFormatting sqref="G119 G77">
    <cfRule type="cellIs" dxfId="399" priority="328" operator="lessThan">
      <formula>-0.1</formula>
    </cfRule>
  </conditionalFormatting>
  <conditionalFormatting sqref="G76">
    <cfRule type="cellIs" dxfId="398" priority="325" operator="notEqual">
      <formula>0</formula>
    </cfRule>
    <cfRule type="cellIs" dxfId="397" priority="327" operator="notEqual">
      <formula>0</formula>
    </cfRule>
  </conditionalFormatting>
  <conditionalFormatting sqref="G83">
    <cfRule type="cellIs" dxfId="396" priority="326" operator="notEqual">
      <formula>0</formula>
    </cfRule>
  </conditionalFormatting>
  <conditionalFormatting sqref="G11">
    <cfRule type="cellIs" dxfId="395" priority="324" operator="lessThan">
      <formula>0</formula>
    </cfRule>
  </conditionalFormatting>
  <conditionalFormatting sqref="G19">
    <cfRule type="cellIs" dxfId="394" priority="323" operator="lessThan">
      <formula>0</formula>
    </cfRule>
  </conditionalFormatting>
  <conditionalFormatting sqref="G23">
    <cfRule type="cellIs" dxfId="393" priority="322" operator="lessThan">
      <formula>0</formula>
    </cfRule>
  </conditionalFormatting>
  <conditionalFormatting sqref="G28">
    <cfRule type="cellIs" dxfId="392" priority="321" operator="lessThan">
      <formula>0</formula>
    </cfRule>
  </conditionalFormatting>
  <conditionalFormatting sqref="G34:G35 G42:G44">
    <cfRule type="cellIs" dxfId="391" priority="320" operator="lessThan">
      <formula>-0.1</formula>
    </cfRule>
  </conditionalFormatting>
  <conditionalFormatting sqref="G83">
    <cfRule type="cellIs" dxfId="390" priority="319" operator="lessThan">
      <formula>-0.1</formula>
    </cfRule>
  </conditionalFormatting>
  <conditionalFormatting sqref="G70">
    <cfRule type="cellIs" dxfId="389" priority="318" operator="notEqual">
      <formula>0</formula>
    </cfRule>
  </conditionalFormatting>
  <conditionalFormatting sqref="G70">
    <cfRule type="cellIs" dxfId="388" priority="317" operator="lessThan">
      <formula>-0.1</formula>
    </cfRule>
  </conditionalFormatting>
  <conditionalFormatting sqref="G65">
    <cfRule type="cellIs" dxfId="387" priority="316" operator="lessThan">
      <formula>0</formula>
    </cfRule>
  </conditionalFormatting>
  <conditionalFormatting sqref="G65">
    <cfRule type="cellIs" dxfId="386" priority="315" operator="notEqual">
      <formula>0</formula>
    </cfRule>
  </conditionalFormatting>
  <conditionalFormatting sqref="G65">
    <cfRule type="cellIs" dxfId="385" priority="314" operator="lessThan">
      <formula>-0.1</formula>
    </cfRule>
  </conditionalFormatting>
  <conditionalFormatting sqref="G61">
    <cfRule type="cellIs" dxfId="384" priority="313" operator="lessThan">
      <formula>0</formula>
    </cfRule>
  </conditionalFormatting>
  <conditionalFormatting sqref="G61">
    <cfRule type="cellIs" dxfId="383" priority="312" operator="lessThan">
      <formula>0</formula>
    </cfRule>
  </conditionalFormatting>
  <conditionalFormatting sqref="G61">
    <cfRule type="cellIs" dxfId="382" priority="311" operator="notEqual">
      <formula>0</formula>
    </cfRule>
  </conditionalFormatting>
  <conditionalFormatting sqref="G61">
    <cfRule type="cellIs" dxfId="381" priority="310" operator="lessThan">
      <formula>-0.1</formula>
    </cfRule>
  </conditionalFormatting>
  <conditionalFormatting sqref="G28">
    <cfRule type="cellIs" dxfId="380" priority="309" operator="lessThan">
      <formula>-0.1</formula>
    </cfRule>
  </conditionalFormatting>
  <conditionalFormatting sqref="G23">
    <cfRule type="cellIs" dxfId="379" priority="308" operator="lessThan">
      <formula>0</formula>
    </cfRule>
  </conditionalFormatting>
  <conditionalFormatting sqref="G23">
    <cfRule type="cellIs" dxfId="378" priority="307" operator="lessThan">
      <formula>-0.1</formula>
    </cfRule>
  </conditionalFormatting>
  <conditionalFormatting sqref="G19">
    <cfRule type="cellIs" dxfId="377" priority="306" operator="lessThan">
      <formula>0</formula>
    </cfRule>
  </conditionalFormatting>
  <conditionalFormatting sqref="G19">
    <cfRule type="cellIs" dxfId="376" priority="304" operator="lessThan">
      <formula>-0.1</formula>
    </cfRule>
  </conditionalFormatting>
  <conditionalFormatting sqref="G77">
    <cfRule type="cellIs" dxfId="375" priority="303" operator="lessThan">
      <formula>-0.1</formula>
    </cfRule>
  </conditionalFormatting>
  <conditionalFormatting sqref="G35">
    <cfRule type="cellIs" dxfId="374" priority="302" operator="lessThan">
      <formula>-0.1</formula>
    </cfRule>
  </conditionalFormatting>
  <conditionalFormatting sqref="G35">
    <cfRule type="cellIs" dxfId="373" priority="301" operator="lessThan">
      <formula>-0.1</formula>
    </cfRule>
  </conditionalFormatting>
  <conditionalFormatting sqref="G82 G75 G69 G64 G60 G52">
    <cfRule type="cellIs" dxfId="372" priority="300" operator="greaterThanOrEqual">
      <formula>1</formula>
    </cfRule>
  </conditionalFormatting>
  <conditionalFormatting sqref="G10">
    <cfRule type="cellIs" dxfId="371" priority="299" operator="greaterThan">
      <formula>0.6999</formula>
    </cfRule>
  </conditionalFormatting>
  <conditionalFormatting sqref="G10 G94 G117 G124 G106 G82 G75 G69 G64 G60 G52">
    <cfRule type="cellIs" dxfId="370" priority="298" operator="greaterThan">
      <formula>0.6999</formula>
    </cfRule>
  </conditionalFormatting>
  <conditionalFormatting sqref="G95">
    <cfRule type="cellIs" dxfId="369" priority="297" operator="lessThan">
      <formula>0</formula>
    </cfRule>
  </conditionalFormatting>
  <conditionalFormatting sqref="G103">
    <cfRule type="cellIs" dxfId="368" priority="296" operator="lessThan">
      <formula>0</formula>
    </cfRule>
  </conditionalFormatting>
  <conditionalFormatting sqref="G107">
    <cfRule type="cellIs" dxfId="367" priority="295" operator="lessThan">
      <formula>0</formula>
    </cfRule>
  </conditionalFormatting>
  <conditionalFormatting sqref="G112">
    <cfRule type="cellIs" dxfId="366" priority="294" operator="lessThan">
      <formula>0</formula>
    </cfRule>
  </conditionalFormatting>
  <conditionalFormatting sqref="G118">
    <cfRule type="cellIs" dxfId="365" priority="293" operator="notEqual">
      <formula>0</formula>
    </cfRule>
  </conditionalFormatting>
  <conditionalFormatting sqref="G118">
    <cfRule type="cellIs" dxfId="364" priority="291" operator="notEqual">
      <formula>0</formula>
    </cfRule>
  </conditionalFormatting>
  <conditionalFormatting sqref="G125">
    <cfRule type="cellIs" dxfId="363" priority="290" operator="lessThan">
      <formula>-0.1</formula>
    </cfRule>
  </conditionalFormatting>
  <conditionalFormatting sqref="G112">
    <cfRule type="cellIs" dxfId="362" priority="289" operator="notEqual">
      <formula>0</formula>
    </cfRule>
  </conditionalFormatting>
  <conditionalFormatting sqref="G112">
    <cfRule type="cellIs" dxfId="361" priority="288" operator="lessThan">
      <formula>-0.1</formula>
    </cfRule>
  </conditionalFormatting>
  <conditionalFormatting sqref="G107">
    <cfRule type="cellIs" dxfId="360" priority="287" operator="lessThan">
      <formula>0</formula>
    </cfRule>
  </conditionalFormatting>
  <conditionalFormatting sqref="G107">
    <cfRule type="cellIs" dxfId="359" priority="286" operator="notEqual">
      <formula>0</formula>
    </cfRule>
  </conditionalFormatting>
  <conditionalFormatting sqref="G107">
    <cfRule type="cellIs" dxfId="358" priority="285" operator="lessThan">
      <formula>-0.1</formula>
    </cfRule>
  </conditionalFormatting>
  <conditionalFormatting sqref="G103">
    <cfRule type="cellIs" dxfId="357" priority="284" operator="lessThan">
      <formula>0</formula>
    </cfRule>
  </conditionalFormatting>
  <conditionalFormatting sqref="G103">
    <cfRule type="cellIs" dxfId="356" priority="283" operator="lessThan">
      <formula>0</formula>
    </cfRule>
  </conditionalFormatting>
  <conditionalFormatting sqref="G103">
    <cfRule type="cellIs" dxfId="355" priority="282" operator="notEqual">
      <formula>0</formula>
    </cfRule>
  </conditionalFormatting>
  <conditionalFormatting sqref="G103">
    <cfRule type="cellIs" dxfId="354" priority="281" operator="lessThan">
      <formula>-0.1</formula>
    </cfRule>
  </conditionalFormatting>
  <conditionalFormatting sqref="G94 G106">
    <cfRule type="cellIs" dxfId="353" priority="280" operator="greaterThanOrEqual">
      <formula>1</formula>
    </cfRule>
  </conditionalFormatting>
  <conditionalFormatting sqref="G94 G106">
    <cfRule type="cellIs" dxfId="352" priority="279" operator="greaterThan">
      <formula>0.6999</formula>
    </cfRule>
  </conditionalFormatting>
  <conditionalFormatting sqref="G117">
    <cfRule type="cellIs" dxfId="351" priority="278" operator="greaterThanOrEqual">
      <formula>1</formula>
    </cfRule>
  </conditionalFormatting>
  <conditionalFormatting sqref="G117">
    <cfRule type="cellIs" dxfId="350" priority="277" operator="greaterThan">
      <formula>0.6999</formula>
    </cfRule>
  </conditionalFormatting>
  <conditionalFormatting sqref="G124">
    <cfRule type="cellIs" dxfId="349" priority="276" operator="greaterThanOrEqual">
      <formula>1</formula>
    </cfRule>
  </conditionalFormatting>
  <conditionalFormatting sqref="G124">
    <cfRule type="cellIs" dxfId="348" priority="275" operator="greaterThan">
      <formula>0.6999</formula>
    </cfRule>
  </conditionalFormatting>
  <conditionalFormatting sqref="G106">
    <cfRule type="cellIs" dxfId="347" priority="274" operator="greaterThanOrEqual">
      <formula>1</formula>
    </cfRule>
  </conditionalFormatting>
  <conditionalFormatting sqref="G106">
    <cfRule type="cellIs" dxfId="346" priority="273" operator="greaterThan">
      <formula>0.6999</formula>
    </cfRule>
  </conditionalFormatting>
  <conditionalFormatting sqref="G102">
    <cfRule type="cellIs" dxfId="345" priority="272" operator="greaterThanOrEqual">
      <formula>1</formula>
    </cfRule>
  </conditionalFormatting>
  <conditionalFormatting sqref="G102">
    <cfRule type="cellIs" dxfId="344" priority="271" operator="greaterThan">
      <formula>0.6999</formula>
    </cfRule>
  </conditionalFormatting>
  <conditionalFormatting sqref="G111">
    <cfRule type="cellIs" dxfId="343" priority="269" operator="greaterThan">
      <formula>0.6999</formula>
    </cfRule>
  </conditionalFormatting>
  <conditionalFormatting sqref="G56">
    <cfRule type="cellIs" dxfId="342" priority="268" operator="greaterThanOrEqual">
      <formula>1</formula>
    </cfRule>
  </conditionalFormatting>
  <conditionalFormatting sqref="G56">
    <cfRule type="cellIs" dxfId="341" priority="267" operator="greaterThan">
      <formula>0.6999</formula>
    </cfRule>
  </conditionalFormatting>
  <conditionalFormatting sqref="G99 G96">
    <cfRule type="cellIs" dxfId="340" priority="266" operator="lessThan">
      <formula>0</formula>
    </cfRule>
  </conditionalFormatting>
  <conditionalFormatting sqref="G98">
    <cfRule type="cellIs" dxfId="339" priority="265" operator="greaterThanOrEqual">
      <formula>1</formula>
    </cfRule>
  </conditionalFormatting>
  <conditionalFormatting sqref="G98">
    <cfRule type="cellIs" dxfId="338" priority="264" operator="greaterThan">
      <formula>0.6999</formula>
    </cfRule>
  </conditionalFormatting>
  <conditionalFormatting sqref="G18">
    <cfRule type="cellIs" dxfId="337" priority="263" operator="greaterThan">
      <formula>0.6999</formula>
    </cfRule>
  </conditionalFormatting>
  <conditionalFormatting sqref="G18">
    <cfRule type="cellIs" dxfId="336" priority="262" operator="greaterThan">
      <formula>0.6999</formula>
    </cfRule>
  </conditionalFormatting>
  <conditionalFormatting sqref="G22">
    <cfRule type="cellIs" dxfId="335" priority="261" operator="greaterThan">
      <formula>0.6999</formula>
    </cfRule>
  </conditionalFormatting>
  <conditionalFormatting sqref="G22">
    <cfRule type="cellIs" dxfId="334" priority="260" operator="greaterThan">
      <formula>0.6999</formula>
    </cfRule>
  </conditionalFormatting>
  <conditionalFormatting sqref="G27">
    <cfRule type="cellIs" dxfId="333" priority="259" operator="greaterThan">
      <formula>0.6999</formula>
    </cfRule>
  </conditionalFormatting>
  <conditionalFormatting sqref="G33">
    <cfRule type="cellIs" dxfId="332" priority="257" operator="greaterThan">
      <formula>0.6999</formula>
    </cfRule>
  </conditionalFormatting>
  <conditionalFormatting sqref="G15">
    <cfRule type="cellIs" dxfId="331" priority="255" operator="lessThan">
      <formula>0</formula>
    </cfRule>
  </conditionalFormatting>
  <conditionalFormatting sqref="G12">
    <cfRule type="cellIs" dxfId="330" priority="254" operator="lessThan">
      <formula>-0.1</formula>
    </cfRule>
  </conditionalFormatting>
  <conditionalFormatting sqref="G14">
    <cfRule type="cellIs" dxfId="329" priority="253" operator="greaterThan">
      <formula>0.6999</formula>
    </cfRule>
  </conditionalFormatting>
  <conditionalFormatting sqref="G14">
    <cfRule type="cellIs" dxfId="328" priority="252" operator="greaterThan">
      <formula>0.6999</formula>
    </cfRule>
  </conditionalFormatting>
  <conditionalFormatting sqref="D8:G8">
    <cfRule type="cellIs" dxfId="327" priority="251" operator="lessThan">
      <formula>-0.1</formula>
    </cfRule>
  </conditionalFormatting>
  <conditionalFormatting sqref="D16:G16">
    <cfRule type="cellIs" dxfId="326" priority="250" operator="lessThan">
      <formula>-0.1</formula>
    </cfRule>
  </conditionalFormatting>
  <conditionalFormatting sqref="D20:G20">
    <cfRule type="cellIs" dxfId="325" priority="249" operator="lessThan">
      <formula>-0.1</formula>
    </cfRule>
  </conditionalFormatting>
  <conditionalFormatting sqref="D24:G24">
    <cfRule type="cellIs" dxfId="324" priority="248" operator="lessThan">
      <formula>-0.1</formula>
    </cfRule>
  </conditionalFormatting>
  <conditionalFormatting sqref="C168:E168">
    <cfRule type="cellIs" dxfId="323" priority="43" operator="lessThan">
      <formula>-0.1</formula>
    </cfRule>
  </conditionalFormatting>
  <conditionalFormatting sqref="C152">
    <cfRule type="cellIs" dxfId="322" priority="52" operator="lessThan">
      <formula>-0.1</formula>
    </cfRule>
  </conditionalFormatting>
  <conditionalFormatting sqref="E140">
    <cfRule type="cellIs" dxfId="321" priority="27" operator="lessThan">
      <formula>-0.1</formula>
    </cfRule>
  </conditionalFormatting>
  <conditionalFormatting sqref="C8">
    <cfRule type="cellIs" dxfId="320" priority="247" operator="lessThan">
      <formula>-0.1</formula>
    </cfRule>
  </conditionalFormatting>
  <conditionalFormatting sqref="D9:F9">
    <cfRule type="cellIs" dxfId="319" priority="246" operator="lessThan">
      <formula>-0.1</formula>
    </cfRule>
  </conditionalFormatting>
  <conditionalFormatting sqref="C9">
    <cfRule type="cellIs" dxfId="318" priority="245" operator="lessThan">
      <formula>-0.1</formula>
    </cfRule>
  </conditionalFormatting>
  <conditionalFormatting sqref="G9">
    <cfRule type="cellIs" dxfId="317" priority="244" operator="lessThan">
      <formula>-0.1</formula>
    </cfRule>
  </conditionalFormatting>
  <conditionalFormatting sqref="C24 C26">
    <cfRule type="cellIs" dxfId="316" priority="243" operator="lessThan">
      <formula>-0.1</formula>
    </cfRule>
  </conditionalFormatting>
  <conditionalFormatting sqref="C25">
    <cfRule type="cellIs" dxfId="315" priority="242" operator="lessThan">
      <formula>-0.1</formula>
    </cfRule>
  </conditionalFormatting>
  <conditionalFormatting sqref="D29:G29">
    <cfRule type="cellIs" dxfId="314" priority="241" operator="lessThan">
      <formula>-0.1</formula>
    </cfRule>
  </conditionalFormatting>
  <conditionalFormatting sqref="C29">
    <cfRule type="cellIs" dxfId="313" priority="240" operator="lessThan">
      <formula>-0.1</formula>
    </cfRule>
  </conditionalFormatting>
  <conditionalFormatting sqref="D30:F30">
    <cfRule type="cellIs" dxfId="312" priority="239" operator="lessThan">
      <formula>-0.1</formula>
    </cfRule>
  </conditionalFormatting>
  <conditionalFormatting sqref="C30">
    <cfRule type="cellIs" dxfId="311" priority="238" operator="lessThan">
      <formula>-0.1</formula>
    </cfRule>
  </conditionalFormatting>
  <conditionalFormatting sqref="G30">
    <cfRule type="cellIs" dxfId="310" priority="237" operator="lessThan">
      <formula>-0.1</formula>
    </cfRule>
  </conditionalFormatting>
  <conditionalFormatting sqref="D31:G31">
    <cfRule type="cellIs" dxfId="309" priority="236" operator="lessThan">
      <formula>-0.1</formula>
    </cfRule>
  </conditionalFormatting>
  <conditionalFormatting sqref="C31">
    <cfRule type="cellIs" dxfId="308" priority="235" operator="lessThan">
      <formula>-0.1</formula>
    </cfRule>
  </conditionalFormatting>
  <conditionalFormatting sqref="D32:F32">
    <cfRule type="cellIs" dxfId="307" priority="234" operator="lessThan">
      <formula>-0.1</formula>
    </cfRule>
  </conditionalFormatting>
  <conditionalFormatting sqref="C32">
    <cfRule type="cellIs" dxfId="306" priority="233" operator="lessThan">
      <formula>-0.1</formula>
    </cfRule>
  </conditionalFormatting>
  <conditionalFormatting sqref="G32">
    <cfRule type="cellIs" dxfId="305" priority="232" operator="lessThan">
      <formula>-0.1</formula>
    </cfRule>
  </conditionalFormatting>
  <conditionalFormatting sqref="D40:F40">
    <cfRule type="cellIs" dxfId="304" priority="227" operator="greaterThan">
      <formula>0.6999</formula>
    </cfRule>
  </conditionalFormatting>
  <conditionalFormatting sqref="C41:F41">
    <cfRule type="cellIs" dxfId="303" priority="231" operator="lessThan">
      <formula>-0.1</formula>
    </cfRule>
  </conditionalFormatting>
  <conditionalFormatting sqref="C40">
    <cfRule type="cellIs" dxfId="302" priority="230" operator="greaterThan">
      <formula>0.6999</formula>
    </cfRule>
  </conditionalFormatting>
  <conditionalFormatting sqref="C40">
    <cfRule type="cellIs" dxfId="301" priority="229" operator="greaterThan">
      <formula>0.6999</formula>
    </cfRule>
  </conditionalFormatting>
  <conditionalFormatting sqref="D40:F40">
    <cfRule type="cellIs" dxfId="300" priority="228" operator="greaterThan">
      <formula>0.6999</formula>
    </cfRule>
  </conditionalFormatting>
  <conditionalFormatting sqref="G40">
    <cfRule type="cellIs" dxfId="299" priority="224" operator="greaterThan">
      <formula>0.6999</formula>
    </cfRule>
  </conditionalFormatting>
  <conditionalFormatting sqref="G41">
    <cfRule type="cellIs" dxfId="298" priority="226" operator="lessThan">
      <formula>-0.1</formula>
    </cfRule>
  </conditionalFormatting>
  <conditionalFormatting sqref="G40">
    <cfRule type="cellIs" dxfId="297" priority="225" operator="greaterThan">
      <formula>0.6999</formula>
    </cfRule>
  </conditionalFormatting>
  <conditionalFormatting sqref="D36:G36">
    <cfRule type="cellIs" dxfId="296" priority="223" operator="lessThan">
      <formula>-0.1</formula>
    </cfRule>
  </conditionalFormatting>
  <conditionalFormatting sqref="D37:F37">
    <cfRule type="cellIs" dxfId="295" priority="222" operator="lessThan">
      <formula>-0.1</formula>
    </cfRule>
  </conditionalFormatting>
  <conditionalFormatting sqref="G37">
    <cfRule type="cellIs" dxfId="294" priority="221" operator="lessThan">
      <formula>-0.1</formula>
    </cfRule>
  </conditionalFormatting>
  <conditionalFormatting sqref="D38:G38">
    <cfRule type="cellIs" dxfId="293" priority="220" operator="lessThan">
      <formula>-0.1</formula>
    </cfRule>
  </conditionalFormatting>
  <conditionalFormatting sqref="D39:F39">
    <cfRule type="cellIs" dxfId="292" priority="219" operator="lessThan">
      <formula>-0.1</formula>
    </cfRule>
  </conditionalFormatting>
  <conditionalFormatting sqref="C39">
    <cfRule type="cellIs" dxfId="291" priority="218" operator="lessThan">
      <formula>-0.1</formula>
    </cfRule>
  </conditionalFormatting>
  <conditionalFormatting sqref="G39">
    <cfRule type="cellIs" dxfId="290" priority="217" operator="lessThan">
      <formula>-0.1</formula>
    </cfRule>
  </conditionalFormatting>
  <conditionalFormatting sqref="D69:E69">
    <cfRule type="cellIs" dxfId="289" priority="189" operator="greaterThan">
      <formula>0.6999</formula>
    </cfRule>
  </conditionalFormatting>
  <conditionalFormatting sqref="C53:E53">
    <cfRule type="cellIs" dxfId="288" priority="216" operator="lessThan">
      <formula>0</formula>
    </cfRule>
  </conditionalFormatting>
  <conditionalFormatting sqref="C61:E61">
    <cfRule type="cellIs" dxfId="287" priority="215" operator="lessThan">
      <formula>0</formula>
    </cfRule>
  </conditionalFormatting>
  <conditionalFormatting sqref="C65:E65">
    <cfRule type="cellIs" dxfId="286" priority="214" operator="lessThan">
      <formula>0</formula>
    </cfRule>
  </conditionalFormatting>
  <conditionalFormatting sqref="C70:E70">
    <cfRule type="cellIs" dxfId="285" priority="213" operator="lessThan">
      <formula>0</formula>
    </cfRule>
  </conditionalFormatting>
  <conditionalFormatting sqref="C77:E77 C76">
    <cfRule type="cellIs" dxfId="284" priority="212" operator="lessThan">
      <formula>-0.1</formula>
    </cfRule>
  </conditionalFormatting>
  <conditionalFormatting sqref="C70:E70">
    <cfRule type="cellIs" dxfId="283" priority="211" operator="lessThan">
      <formula>-0.1</formula>
    </cfRule>
  </conditionalFormatting>
  <conditionalFormatting sqref="C65:E65">
    <cfRule type="cellIs" dxfId="282" priority="210" operator="lessThan">
      <formula>0</formula>
    </cfRule>
  </conditionalFormatting>
  <conditionalFormatting sqref="C65:E65">
    <cfRule type="cellIs" dxfId="281" priority="209" operator="lessThan">
      <formula>-0.1</formula>
    </cfRule>
  </conditionalFormatting>
  <conditionalFormatting sqref="C61:E61">
    <cfRule type="cellIs" dxfId="280" priority="208" operator="lessThan">
      <formula>0</formula>
    </cfRule>
  </conditionalFormatting>
  <conditionalFormatting sqref="C61:E61">
    <cfRule type="cellIs" dxfId="279" priority="207" operator="lessThan">
      <formula>0</formula>
    </cfRule>
  </conditionalFormatting>
  <conditionalFormatting sqref="C61:E61">
    <cfRule type="cellIs" dxfId="278" priority="206" operator="lessThan">
      <formula>-0.1</formula>
    </cfRule>
  </conditionalFormatting>
  <conditionalFormatting sqref="C77:E77">
    <cfRule type="cellIs" dxfId="277" priority="205" operator="lessThan">
      <formula>-0.1</formula>
    </cfRule>
  </conditionalFormatting>
  <conditionalFormatting sqref="C77:E77">
    <cfRule type="cellIs" dxfId="276" priority="204" operator="lessThan">
      <formula>-0.1</formula>
    </cfRule>
  </conditionalFormatting>
  <conditionalFormatting sqref="C64">
    <cfRule type="cellIs" dxfId="275" priority="203" operator="greaterThanOrEqual">
      <formula>1</formula>
    </cfRule>
  </conditionalFormatting>
  <conditionalFormatting sqref="C52:E52 C69 C60 C75">
    <cfRule type="cellIs" dxfId="274" priority="202" operator="greaterThan">
      <formula>0.6999</formula>
    </cfRule>
  </conditionalFormatting>
  <conditionalFormatting sqref="C52:E52 C60 C64 C69 C75">
    <cfRule type="cellIs" dxfId="273" priority="201" operator="greaterThan">
      <formula>0.6999</formula>
    </cfRule>
  </conditionalFormatting>
  <conditionalFormatting sqref="C56">
    <cfRule type="cellIs" dxfId="272" priority="199" operator="greaterThanOrEqual">
      <formula>1</formula>
    </cfRule>
  </conditionalFormatting>
  <conditionalFormatting sqref="C56">
    <cfRule type="cellIs" dxfId="271" priority="198" operator="greaterThan">
      <formula>0.6999</formula>
    </cfRule>
  </conditionalFormatting>
  <conditionalFormatting sqref="C54:D54">
    <cfRule type="cellIs" dxfId="270" priority="197" operator="lessThan">
      <formula>-0.1</formula>
    </cfRule>
  </conditionalFormatting>
  <conditionalFormatting sqref="D56">
    <cfRule type="cellIs" dxfId="269" priority="196" operator="greaterThan">
      <formula>0.6999</formula>
    </cfRule>
  </conditionalFormatting>
  <conditionalFormatting sqref="D56">
    <cfRule type="cellIs" dxfId="268" priority="195" operator="greaterThan">
      <formula>0.6999</formula>
    </cfRule>
  </conditionalFormatting>
  <conditionalFormatting sqref="D60:E60">
    <cfRule type="cellIs" dxfId="267" priority="194" operator="greaterThan">
      <formula>0.6999</formula>
    </cfRule>
  </conditionalFormatting>
  <conditionalFormatting sqref="D60:E60">
    <cfRule type="cellIs" dxfId="266" priority="193" operator="greaterThan">
      <formula>0.6999</formula>
    </cfRule>
  </conditionalFormatting>
  <conditionalFormatting sqref="D64:E64">
    <cfRule type="cellIs" dxfId="265" priority="192" operator="greaterThan">
      <formula>0.6999</formula>
    </cfRule>
  </conditionalFormatting>
  <conditionalFormatting sqref="D64:E64">
    <cfRule type="cellIs" dxfId="264" priority="191" operator="greaterThan">
      <formula>0.6999</formula>
    </cfRule>
  </conditionalFormatting>
  <conditionalFormatting sqref="D69:E69">
    <cfRule type="cellIs" dxfId="263" priority="190" operator="greaterThan">
      <formula>0.6999</formula>
    </cfRule>
  </conditionalFormatting>
  <conditionalFormatting sqref="D50:E50">
    <cfRule type="cellIs" dxfId="262" priority="188" operator="lessThan">
      <formula>-0.1</formula>
    </cfRule>
  </conditionalFormatting>
  <conditionalFormatting sqref="D66:E66">
    <cfRule type="cellIs" dxfId="261" priority="185" operator="lessThan">
      <formula>-0.1</formula>
    </cfRule>
  </conditionalFormatting>
  <conditionalFormatting sqref="C50">
    <cfRule type="cellIs" dxfId="260" priority="184" operator="lessThan">
      <formula>-0.1</formula>
    </cfRule>
  </conditionalFormatting>
  <conditionalFormatting sqref="D51:E51">
    <cfRule type="cellIs" dxfId="259" priority="183" operator="lessThan">
      <formula>-0.1</formula>
    </cfRule>
  </conditionalFormatting>
  <conditionalFormatting sqref="C51">
    <cfRule type="cellIs" dxfId="258" priority="182" operator="lessThan">
      <formula>-0.1</formula>
    </cfRule>
  </conditionalFormatting>
  <conditionalFormatting sqref="C66 C68">
    <cfRule type="cellIs" dxfId="257" priority="181" operator="lessThan">
      <formula>-0.1</formula>
    </cfRule>
  </conditionalFormatting>
  <conditionalFormatting sqref="C67">
    <cfRule type="cellIs" dxfId="256" priority="180" operator="lessThan">
      <formula>-0.1</formula>
    </cfRule>
  </conditionalFormatting>
  <conditionalFormatting sqref="D71:E71">
    <cfRule type="cellIs" dxfId="255" priority="179" operator="lessThan">
      <formula>-0.1</formula>
    </cfRule>
  </conditionalFormatting>
  <conditionalFormatting sqref="C71">
    <cfRule type="cellIs" dxfId="254" priority="178" operator="lessThan">
      <formula>-0.1</formula>
    </cfRule>
  </conditionalFormatting>
  <conditionalFormatting sqref="D72:E72">
    <cfRule type="cellIs" dxfId="253" priority="177" operator="lessThan">
      <formula>-0.1</formula>
    </cfRule>
  </conditionalFormatting>
  <conditionalFormatting sqref="C72">
    <cfRule type="cellIs" dxfId="252" priority="176" operator="lessThan">
      <formula>-0.1</formula>
    </cfRule>
  </conditionalFormatting>
  <conditionalFormatting sqref="D73:E73">
    <cfRule type="cellIs" dxfId="251" priority="175" operator="lessThan">
      <formula>-0.1</formula>
    </cfRule>
  </conditionalFormatting>
  <conditionalFormatting sqref="C73">
    <cfRule type="cellIs" dxfId="250" priority="174" operator="lessThan">
      <formula>-0.1</formula>
    </cfRule>
  </conditionalFormatting>
  <conditionalFormatting sqref="D74:E74">
    <cfRule type="cellIs" dxfId="249" priority="173" operator="lessThan">
      <formula>-0.1</formula>
    </cfRule>
  </conditionalFormatting>
  <conditionalFormatting sqref="C74">
    <cfRule type="cellIs" dxfId="248" priority="172" operator="lessThan">
      <formula>-0.1</formula>
    </cfRule>
  </conditionalFormatting>
  <conditionalFormatting sqref="C83">
    <cfRule type="cellIs" dxfId="247" priority="171" operator="lessThan">
      <formula>-0.1</formula>
    </cfRule>
  </conditionalFormatting>
  <conditionalFormatting sqref="C82">
    <cfRule type="cellIs" dxfId="246" priority="170" operator="greaterThan">
      <formula>0.6999</formula>
    </cfRule>
  </conditionalFormatting>
  <conditionalFormatting sqref="C82">
    <cfRule type="cellIs" dxfId="245" priority="169" operator="greaterThan">
      <formula>0.6999</formula>
    </cfRule>
  </conditionalFormatting>
  <conditionalFormatting sqref="D78:E78">
    <cfRule type="cellIs" dxfId="244" priority="168" operator="lessThan">
      <formula>-0.1</formula>
    </cfRule>
  </conditionalFormatting>
  <conditionalFormatting sqref="C78">
    <cfRule type="cellIs" dxfId="243" priority="167" operator="lessThan">
      <formula>-0.1</formula>
    </cfRule>
  </conditionalFormatting>
  <conditionalFormatting sqref="D79:E79">
    <cfRule type="cellIs" dxfId="242" priority="166" operator="lessThan">
      <formula>-0.1</formula>
    </cfRule>
  </conditionalFormatting>
  <conditionalFormatting sqref="C79">
    <cfRule type="cellIs" dxfId="241" priority="165" operator="lessThan">
      <formula>-0.1</formula>
    </cfRule>
  </conditionalFormatting>
  <conditionalFormatting sqref="D80:E80">
    <cfRule type="cellIs" dxfId="240" priority="164" operator="lessThan">
      <formula>-0.1</formula>
    </cfRule>
  </conditionalFormatting>
  <conditionalFormatting sqref="C80">
    <cfRule type="cellIs" dxfId="239" priority="163" operator="lessThan">
      <formula>-0.1</formula>
    </cfRule>
  </conditionalFormatting>
  <conditionalFormatting sqref="C81">
    <cfRule type="cellIs" dxfId="238" priority="162" operator="lessThan">
      <formula>-0.1</formula>
    </cfRule>
  </conditionalFormatting>
  <conditionalFormatting sqref="D99">
    <cfRule type="cellIs" dxfId="237" priority="146" operator="lessThan">
      <formula>0</formula>
    </cfRule>
  </conditionalFormatting>
  <conditionalFormatting sqref="D111">
    <cfRule type="cellIs" dxfId="236" priority="137" operator="greaterThan">
      <formula>0.6999</formula>
    </cfRule>
  </conditionalFormatting>
  <conditionalFormatting sqref="D95">
    <cfRule type="cellIs" dxfId="235" priority="161" operator="lessThan">
      <formula>0</formula>
    </cfRule>
  </conditionalFormatting>
  <conditionalFormatting sqref="D103">
    <cfRule type="cellIs" dxfId="234" priority="160" operator="lessThan">
      <formula>0</formula>
    </cfRule>
  </conditionalFormatting>
  <conditionalFormatting sqref="D107">
    <cfRule type="cellIs" dxfId="233" priority="159" operator="lessThan">
      <formula>0</formula>
    </cfRule>
  </conditionalFormatting>
  <conditionalFormatting sqref="D112">
    <cfRule type="cellIs" dxfId="232" priority="158" operator="lessThan">
      <formula>0</formula>
    </cfRule>
  </conditionalFormatting>
  <conditionalFormatting sqref="D119">
    <cfRule type="cellIs" dxfId="231" priority="157" operator="lessThan">
      <formula>-0.1</formula>
    </cfRule>
  </conditionalFormatting>
  <conditionalFormatting sqref="D112">
    <cfRule type="cellIs" dxfId="230" priority="156" operator="lessThan">
      <formula>-0.1</formula>
    </cfRule>
  </conditionalFormatting>
  <conditionalFormatting sqref="D107">
    <cfRule type="cellIs" dxfId="229" priority="155" operator="lessThan">
      <formula>0</formula>
    </cfRule>
  </conditionalFormatting>
  <conditionalFormatting sqref="D107">
    <cfRule type="cellIs" dxfId="228" priority="154" operator="lessThan">
      <formula>-0.1</formula>
    </cfRule>
  </conditionalFormatting>
  <conditionalFormatting sqref="D103">
    <cfRule type="cellIs" dxfId="227" priority="153" operator="lessThan">
      <formula>0</formula>
    </cfRule>
  </conditionalFormatting>
  <conditionalFormatting sqref="D103">
    <cfRule type="cellIs" dxfId="226" priority="152" operator="lessThan">
      <formula>0</formula>
    </cfRule>
  </conditionalFormatting>
  <conditionalFormatting sqref="D103">
    <cfRule type="cellIs" dxfId="225" priority="151" operator="lessThan">
      <formula>-0.1</formula>
    </cfRule>
  </conditionalFormatting>
  <conditionalFormatting sqref="D119">
    <cfRule type="cellIs" dxfId="224" priority="150" operator="lessThan">
      <formula>-0.1</formula>
    </cfRule>
  </conditionalFormatting>
  <conditionalFormatting sqref="D119">
    <cfRule type="cellIs" dxfId="223" priority="149" operator="lessThan">
      <formula>-0.1</formula>
    </cfRule>
  </conditionalFormatting>
  <conditionalFormatting sqref="D94">
    <cfRule type="cellIs" dxfId="222" priority="148" operator="greaterThan">
      <formula>0.6999</formula>
    </cfRule>
  </conditionalFormatting>
  <conditionalFormatting sqref="D94">
    <cfRule type="cellIs" dxfId="221" priority="147" operator="greaterThan">
      <formula>0.6999</formula>
    </cfRule>
  </conditionalFormatting>
  <conditionalFormatting sqref="D96">
    <cfRule type="cellIs" dxfId="220" priority="145" operator="lessThan">
      <formula>-0.1</formula>
    </cfRule>
  </conditionalFormatting>
  <conditionalFormatting sqref="D98">
    <cfRule type="cellIs" dxfId="219" priority="144" operator="greaterThan">
      <formula>0.6999</formula>
    </cfRule>
  </conditionalFormatting>
  <conditionalFormatting sqref="D98">
    <cfRule type="cellIs" dxfId="218" priority="143" operator="greaterThan">
      <formula>0.6999</formula>
    </cfRule>
  </conditionalFormatting>
  <conditionalFormatting sqref="D102">
    <cfRule type="cellIs" dxfId="217" priority="142" operator="greaterThan">
      <formula>0.6999</formula>
    </cfRule>
  </conditionalFormatting>
  <conditionalFormatting sqref="D102">
    <cfRule type="cellIs" dxfId="216" priority="141" operator="greaterThan">
      <formula>0.6999</formula>
    </cfRule>
  </conditionalFormatting>
  <conditionalFormatting sqref="D106">
    <cfRule type="cellIs" dxfId="215" priority="140" operator="greaterThan">
      <formula>0.6999</formula>
    </cfRule>
  </conditionalFormatting>
  <conditionalFormatting sqref="D106">
    <cfRule type="cellIs" dxfId="214" priority="139" operator="greaterThan">
      <formula>0.6999</formula>
    </cfRule>
  </conditionalFormatting>
  <conditionalFormatting sqref="D111">
    <cfRule type="cellIs" dxfId="213" priority="138" operator="greaterThan">
      <formula>0.6999</formula>
    </cfRule>
  </conditionalFormatting>
  <conditionalFormatting sqref="D92">
    <cfRule type="cellIs" dxfId="212" priority="136" operator="lessThan">
      <formula>-0.1</formula>
    </cfRule>
  </conditionalFormatting>
  <conditionalFormatting sqref="D100">
    <cfRule type="cellIs" dxfId="211" priority="135" operator="lessThan">
      <formula>-0.1</formula>
    </cfRule>
  </conditionalFormatting>
  <conditionalFormatting sqref="D104">
    <cfRule type="cellIs" dxfId="210" priority="134" operator="lessThan">
      <formula>-0.1</formula>
    </cfRule>
  </conditionalFormatting>
  <conditionalFormatting sqref="D108">
    <cfRule type="cellIs" dxfId="209" priority="133" operator="lessThan">
      <formula>-0.1</formula>
    </cfRule>
  </conditionalFormatting>
  <conditionalFormatting sqref="D93">
    <cfRule type="cellIs" dxfId="208" priority="132" operator="lessThan">
      <formula>-0.1</formula>
    </cfRule>
  </conditionalFormatting>
  <conditionalFormatting sqref="D113">
    <cfRule type="cellIs" dxfId="207" priority="131" operator="lessThan">
      <formula>-0.1</formula>
    </cfRule>
  </conditionalFormatting>
  <conditionalFormatting sqref="D114">
    <cfRule type="cellIs" dxfId="206" priority="130" operator="lessThan">
      <formula>-0.1</formula>
    </cfRule>
  </conditionalFormatting>
  <conditionalFormatting sqref="D115">
    <cfRule type="cellIs" dxfId="205" priority="129" operator="lessThan">
      <formula>-0.1</formula>
    </cfRule>
  </conditionalFormatting>
  <conditionalFormatting sqref="D120">
    <cfRule type="cellIs" dxfId="204" priority="128" operator="lessThan">
      <formula>-0.1</formula>
    </cfRule>
  </conditionalFormatting>
  <conditionalFormatting sqref="D121">
    <cfRule type="cellIs" dxfId="203" priority="127" operator="lessThan">
      <formula>-0.1</formula>
    </cfRule>
  </conditionalFormatting>
  <conditionalFormatting sqref="D122">
    <cfRule type="cellIs" dxfId="202" priority="126" operator="lessThan">
      <formula>-0.1</formula>
    </cfRule>
  </conditionalFormatting>
  <conditionalFormatting sqref="C99">
    <cfRule type="cellIs" dxfId="201" priority="109" operator="lessThan">
      <formula>0</formula>
    </cfRule>
  </conditionalFormatting>
  <conditionalFormatting sqref="C95">
    <cfRule type="cellIs" dxfId="200" priority="125" operator="lessThan">
      <formula>0</formula>
    </cfRule>
  </conditionalFormatting>
  <conditionalFormatting sqref="C103">
    <cfRule type="cellIs" dxfId="199" priority="124" operator="lessThan">
      <formula>0</formula>
    </cfRule>
  </conditionalFormatting>
  <conditionalFormatting sqref="C107">
    <cfRule type="cellIs" dxfId="198" priority="123" operator="lessThan">
      <formula>0</formula>
    </cfRule>
  </conditionalFormatting>
  <conditionalFormatting sqref="C112">
    <cfRule type="cellIs" dxfId="197" priority="122" operator="lessThan">
      <formula>0</formula>
    </cfRule>
  </conditionalFormatting>
  <conditionalFormatting sqref="C118:C119">
    <cfRule type="cellIs" dxfId="196" priority="121" operator="lessThan">
      <formula>-0.1</formula>
    </cfRule>
  </conditionalFormatting>
  <conditionalFormatting sqref="C112">
    <cfRule type="cellIs" dxfId="195" priority="120" operator="lessThan">
      <formula>-0.1</formula>
    </cfRule>
  </conditionalFormatting>
  <conditionalFormatting sqref="C107">
    <cfRule type="cellIs" dxfId="194" priority="119" operator="lessThan">
      <formula>0</formula>
    </cfRule>
  </conditionalFormatting>
  <conditionalFormatting sqref="C107">
    <cfRule type="cellIs" dxfId="193" priority="118" operator="lessThan">
      <formula>-0.1</formula>
    </cfRule>
  </conditionalFormatting>
  <conditionalFormatting sqref="C103">
    <cfRule type="cellIs" dxfId="192" priority="117" operator="lessThan">
      <formula>0</formula>
    </cfRule>
  </conditionalFormatting>
  <conditionalFormatting sqref="C103">
    <cfRule type="cellIs" dxfId="191" priority="116" operator="lessThan">
      <formula>0</formula>
    </cfRule>
  </conditionalFormatting>
  <conditionalFormatting sqref="C103">
    <cfRule type="cellIs" dxfId="190" priority="115" operator="lessThan">
      <formula>-0.1</formula>
    </cfRule>
  </conditionalFormatting>
  <conditionalFormatting sqref="C119">
    <cfRule type="cellIs" dxfId="189" priority="114" operator="lessThan">
      <formula>-0.1</formula>
    </cfRule>
  </conditionalFormatting>
  <conditionalFormatting sqref="C119">
    <cfRule type="cellIs" dxfId="188" priority="113" operator="lessThan">
      <formula>-0.1</formula>
    </cfRule>
  </conditionalFormatting>
  <conditionalFormatting sqref="C106">
    <cfRule type="cellIs" dxfId="187" priority="112" operator="greaterThanOrEqual">
      <formula>1</formula>
    </cfRule>
  </conditionalFormatting>
  <conditionalFormatting sqref="C94 C111 C102 C117">
    <cfRule type="cellIs" dxfId="186" priority="111" operator="greaterThan">
      <formula>0.6999</formula>
    </cfRule>
  </conditionalFormatting>
  <conditionalFormatting sqref="C94 C102 C106 C111 C117">
    <cfRule type="cellIs" dxfId="185" priority="110" operator="greaterThan">
      <formula>0.6999</formula>
    </cfRule>
  </conditionalFormatting>
  <conditionalFormatting sqref="C98">
    <cfRule type="cellIs" dxfId="184" priority="108" operator="greaterThanOrEqual">
      <formula>1</formula>
    </cfRule>
  </conditionalFormatting>
  <conditionalFormatting sqref="C98">
    <cfRule type="cellIs" dxfId="183" priority="107" operator="greaterThan">
      <formula>0.6999</formula>
    </cfRule>
  </conditionalFormatting>
  <conditionalFormatting sqref="C96">
    <cfRule type="cellIs" dxfId="182" priority="106" operator="lessThan">
      <formula>-0.1</formula>
    </cfRule>
  </conditionalFormatting>
  <conditionalFormatting sqref="C92">
    <cfRule type="cellIs" dxfId="181" priority="105" operator="lessThan">
      <formula>-0.1</formula>
    </cfRule>
  </conditionalFormatting>
  <conditionalFormatting sqref="C93">
    <cfRule type="cellIs" dxfId="180" priority="104" operator="lessThan">
      <formula>-0.1</formula>
    </cfRule>
  </conditionalFormatting>
  <conditionalFormatting sqref="C108 C110">
    <cfRule type="cellIs" dxfId="179" priority="103" operator="lessThan">
      <formula>-0.1</formula>
    </cfRule>
  </conditionalFormatting>
  <conditionalFormatting sqref="C109">
    <cfRule type="cellIs" dxfId="178" priority="102" operator="lessThan">
      <formula>-0.1</formula>
    </cfRule>
  </conditionalFormatting>
  <conditionalFormatting sqref="C113">
    <cfRule type="cellIs" dxfId="177" priority="101" operator="lessThan">
      <formula>-0.1</formula>
    </cfRule>
  </conditionalFormatting>
  <conditionalFormatting sqref="C114">
    <cfRule type="cellIs" dxfId="176" priority="100" operator="lessThan">
      <formula>-0.1</formula>
    </cfRule>
  </conditionalFormatting>
  <conditionalFormatting sqref="C115">
    <cfRule type="cellIs" dxfId="175" priority="99" operator="lessThan">
      <formula>-0.1</formula>
    </cfRule>
  </conditionalFormatting>
  <conditionalFormatting sqref="C116">
    <cfRule type="cellIs" dxfId="174" priority="98" operator="lessThan">
      <formula>-0.1</formula>
    </cfRule>
  </conditionalFormatting>
  <conditionalFormatting sqref="C125">
    <cfRule type="cellIs" dxfId="173" priority="97" operator="lessThan">
      <formula>-0.1</formula>
    </cfRule>
  </conditionalFormatting>
  <conditionalFormatting sqref="C124">
    <cfRule type="cellIs" dxfId="172" priority="96" operator="greaterThan">
      <formula>0.6999</formula>
    </cfRule>
  </conditionalFormatting>
  <conditionalFormatting sqref="C124">
    <cfRule type="cellIs" dxfId="171" priority="95" operator="greaterThan">
      <formula>0.6999</formula>
    </cfRule>
  </conditionalFormatting>
  <conditionalFormatting sqref="C120">
    <cfRule type="cellIs" dxfId="170" priority="94" operator="lessThan">
      <formula>-0.1</formula>
    </cfRule>
  </conditionalFormatting>
  <conditionalFormatting sqref="C121">
    <cfRule type="cellIs" dxfId="169" priority="93" operator="lessThan">
      <formula>-0.1</formula>
    </cfRule>
  </conditionalFormatting>
  <conditionalFormatting sqref="C122">
    <cfRule type="cellIs" dxfId="168" priority="92" operator="lessThan">
      <formula>-0.1</formula>
    </cfRule>
  </conditionalFormatting>
  <conditionalFormatting sqref="C123">
    <cfRule type="cellIs" dxfId="167" priority="91" operator="lessThan">
      <formula>-0.1</formula>
    </cfRule>
  </conditionalFormatting>
  <conditionalFormatting sqref="C142:D142">
    <cfRule type="cellIs" dxfId="166" priority="74" operator="lessThan">
      <formula>0</formula>
    </cfRule>
  </conditionalFormatting>
  <conditionalFormatting sqref="D154:E154">
    <cfRule type="cellIs" dxfId="165" priority="63" operator="greaterThan">
      <formula>0.6999</formula>
    </cfRule>
  </conditionalFormatting>
  <conditionalFormatting sqref="D160:E160">
    <cfRule type="cellIs" dxfId="164" priority="61" operator="greaterThan">
      <formula>0.6999</formula>
    </cfRule>
  </conditionalFormatting>
  <conditionalFormatting sqref="C138:E138">
    <cfRule type="cellIs" dxfId="163" priority="90" operator="lessThan">
      <formula>0</formula>
    </cfRule>
  </conditionalFormatting>
  <conditionalFormatting sqref="C146:E146">
    <cfRule type="cellIs" dxfId="162" priority="89" operator="lessThan">
      <formula>0</formula>
    </cfRule>
  </conditionalFormatting>
  <conditionalFormatting sqref="C150:E150">
    <cfRule type="cellIs" dxfId="161" priority="88" operator="lessThan">
      <formula>0</formula>
    </cfRule>
  </conditionalFormatting>
  <conditionalFormatting sqref="C155:E155">
    <cfRule type="cellIs" dxfId="160" priority="87" operator="lessThan">
      <formula>0</formula>
    </cfRule>
  </conditionalFormatting>
  <conditionalFormatting sqref="C161:E162">
    <cfRule type="cellIs" dxfId="159" priority="86" operator="lessThan">
      <formula>-0.1</formula>
    </cfRule>
  </conditionalFormatting>
  <conditionalFormatting sqref="C155:E155">
    <cfRule type="cellIs" dxfId="158" priority="85" operator="lessThan">
      <formula>-0.1</formula>
    </cfRule>
  </conditionalFormatting>
  <conditionalFormatting sqref="C150:E150">
    <cfRule type="cellIs" dxfId="157" priority="84" operator="lessThan">
      <formula>0</formula>
    </cfRule>
  </conditionalFormatting>
  <conditionalFormatting sqref="C150:E150">
    <cfRule type="cellIs" dxfId="156" priority="83" operator="lessThan">
      <formula>-0.1</formula>
    </cfRule>
  </conditionalFormatting>
  <conditionalFormatting sqref="C146:E146">
    <cfRule type="cellIs" dxfId="155" priority="82" operator="lessThan">
      <formula>0</formula>
    </cfRule>
  </conditionalFormatting>
  <conditionalFormatting sqref="C146:E146">
    <cfRule type="cellIs" dxfId="154" priority="81" operator="lessThan">
      <formula>0</formula>
    </cfRule>
  </conditionalFormatting>
  <conditionalFormatting sqref="C146:E146">
    <cfRule type="cellIs" dxfId="153" priority="80" operator="lessThan">
      <formula>-0.1</formula>
    </cfRule>
  </conditionalFormatting>
  <conditionalFormatting sqref="C162:E162">
    <cfRule type="cellIs" dxfId="152" priority="79" operator="lessThan">
      <formula>-0.1</formula>
    </cfRule>
  </conditionalFormatting>
  <conditionalFormatting sqref="C162:E162">
    <cfRule type="cellIs" dxfId="151" priority="78" operator="lessThan">
      <formula>-0.1</formula>
    </cfRule>
  </conditionalFormatting>
  <conditionalFormatting sqref="C149">
    <cfRule type="cellIs" dxfId="150" priority="77" operator="greaterThanOrEqual">
      <formula>1</formula>
    </cfRule>
  </conditionalFormatting>
  <conditionalFormatting sqref="C137:E137 C154 C145 C160">
    <cfRule type="cellIs" dxfId="149" priority="76" operator="greaterThan">
      <formula>0.6999</formula>
    </cfRule>
  </conditionalFormatting>
  <conditionalFormatting sqref="C137:E137 C145 C149 C154 C160">
    <cfRule type="cellIs" dxfId="148" priority="75" operator="greaterThan">
      <formula>0.6999</formula>
    </cfRule>
  </conditionalFormatting>
  <conditionalFormatting sqref="C141">
    <cfRule type="cellIs" dxfId="147" priority="73" operator="greaterThanOrEqual">
      <formula>1</formula>
    </cfRule>
  </conditionalFormatting>
  <conditionalFormatting sqref="C141">
    <cfRule type="cellIs" dxfId="146" priority="72" operator="greaterThan">
      <formula>0.6999</formula>
    </cfRule>
  </conditionalFormatting>
  <conditionalFormatting sqref="C139:D139">
    <cfRule type="cellIs" dxfId="145" priority="71" operator="lessThan">
      <formula>-0.1</formula>
    </cfRule>
  </conditionalFormatting>
  <conditionalFormatting sqref="D141">
    <cfRule type="cellIs" dxfId="144" priority="70" operator="greaterThan">
      <formula>0.6999</formula>
    </cfRule>
  </conditionalFormatting>
  <conditionalFormatting sqref="D141">
    <cfRule type="cellIs" dxfId="143" priority="69" operator="greaterThan">
      <formula>0.6999</formula>
    </cfRule>
  </conditionalFormatting>
  <conditionalFormatting sqref="D145:E145">
    <cfRule type="cellIs" dxfId="142" priority="68" operator="greaterThan">
      <formula>0.6999</formula>
    </cfRule>
  </conditionalFormatting>
  <conditionalFormatting sqref="D145:E145">
    <cfRule type="cellIs" dxfId="141" priority="67" operator="greaterThan">
      <formula>0.6999</formula>
    </cfRule>
  </conditionalFormatting>
  <conditionalFormatting sqref="D149:E149">
    <cfRule type="cellIs" dxfId="140" priority="66" operator="greaterThan">
      <formula>0.6999</formula>
    </cfRule>
  </conditionalFormatting>
  <conditionalFormatting sqref="D149:E149">
    <cfRule type="cellIs" dxfId="139" priority="65" operator="greaterThan">
      <formula>0.6999</formula>
    </cfRule>
  </conditionalFormatting>
  <conditionalFormatting sqref="D154:E154">
    <cfRule type="cellIs" dxfId="138" priority="64" operator="greaterThan">
      <formula>0.6999</formula>
    </cfRule>
  </conditionalFormatting>
  <conditionalFormatting sqref="D160:E160">
    <cfRule type="cellIs" dxfId="137" priority="62" operator="greaterThan">
      <formula>0.6999</formula>
    </cfRule>
  </conditionalFormatting>
  <conditionalFormatting sqref="D135:E135">
    <cfRule type="cellIs" dxfId="136" priority="60" operator="lessThan">
      <formula>-0.1</formula>
    </cfRule>
  </conditionalFormatting>
  <conditionalFormatting sqref="D143:E143">
    <cfRule type="cellIs" dxfId="135" priority="59" operator="lessThan">
      <formula>-0.1</formula>
    </cfRule>
  </conditionalFormatting>
  <conditionalFormatting sqref="D147:E147">
    <cfRule type="cellIs" dxfId="134" priority="58" operator="lessThan">
      <formula>-0.1</formula>
    </cfRule>
  </conditionalFormatting>
  <conditionalFormatting sqref="D151:E151">
    <cfRule type="cellIs" dxfId="133" priority="57" operator="lessThan">
      <formula>-0.1</formula>
    </cfRule>
  </conditionalFormatting>
  <conditionalFormatting sqref="C135">
    <cfRule type="cellIs" dxfId="132" priority="56" operator="lessThan">
      <formula>-0.1</formula>
    </cfRule>
  </conditionalFormatting>
  <conditionalFormatting sqref="D136:E136">
    <cfRule type="cellIs" dxfId="131" priority="55" operator="lessThan">
      <formula>-0.1</formula>
    </cfRule>
  </conditionalFormatting>
  <conditionalFormatting sqref="C136">
    <cfRule type="cellIs" dxfId="130" priority="54" operator="lessThan">
      <formula>-0.1</formula>
    </cfRule>
  </conditionalFormatting>
  <conditionalFormatting sqref="C151 C153">
    <cfRule type="cellIs" dxfId="129" priority="53" operator="lessThan">
      <formula>-0.1</formula>
    </cfRule>
  </conditionalFormatting>
  <conditionalFormatting sqref="D156:E156">
    <cfRule type="cellIs" dxfId="128" priority="51" operator="lessThan">
      <formula>-0.1</formula>
    </cfRule>
  </conditionalFormatting>
  <conditionalFormatting sqref="C156">
    <cfRule type="cellIs" dxfId="127" priority="50" operator="lessThan">
      <formula>-0.1</formula>
    </cfRule>
  </conditionalFormatting>
  <conditionalFormatting sqref="D157:E157">
    <cfRule type="cellIs" dxfId="126" priority="49" operator="lessThan">
      <formula>-0.1</formula>
    </cfRule>
  </conditionalFormatting>
  <conditionalFormatting sqref="C157">
    <cfRule type="cellIs" dxfId="125" priority="48" operator="lessThan">
      <formula>-0.1</formula>
    </cfRule>
  </conditionalFormatting>
  <conditionalFormatting sqref="D158:E158">
    <cfRule type="cellIs" dxfId="124" priority="47" operator="lessThan">
      <formula>-0.1</formula>
    </cfRule>
  </conditionalFormatting>
  <conditionalFormatting sqref="C158">
    <cfRule type="cellIs" dxfId="123" priority="46" operator="lessThan">
      <formula>-0.1</formula>
    </cfRule>
  </conditionalFormatting>
  <conditionalFormatting sqref="D159:E159">
    <cfRule type="cellIs" dxfId="122" priority="45" operator="lessThan">
      <formula>-0.1</formula>
    </cfRule>
  </conditionalFormatting>
  <conditionalFormatting sqref="C159">
    <cfRule type="cellIs" dxfId="121" priority="44" operator="lessThan">
      <formula>-0.1</formula>
    </cfRule>
  </conditionalFormatting>
  <conditionalFormatting sqref="D167:E167">
    <cfRule type="cellIs" dxfId="120" priority="39" operator="greaterThan">
      <formula>0.6999</formula>
    </cfRule>
  </conditionalFormatting>
  <conditionalFormatting sqref="C167">
    <cfRule type="cellIs" dxfId="119" priority="42" operator="greaterThan">
      <formula>0.6999</formula>
    </cfRule>
  </conditionalFormatting>
  <conditionalFormatting sqref="C167">
    <cfRule type="cellIs" dxfId="118" priority="41" operator="greaterThan">
      <formula>0.6999</formula>
    </cfRule>
  </conditionalFormatting>
  <conditionalFormatting sqref="D167:E167">
    <cfRule type="cellIs" dxfId="117" priority="40" operator="greaterThan">
      <formula>0.6999</formula>
    </cfRule>
  </conditionalFormatting>
  <conditionalFormatting sqref="D163:E163">
    <cfRule type="cellIs" dxfId="116" priority="38" operator="lessThan">
      <formula>-0.1</formula>
    </cfRule>
  </conditionalFormatting>
  <conditionalFormatting sqref="C163">
    <cfRule type="cellIs" dxfId="115" priority="37" operator="lessThan">
      <formula>-0.1</formula>
    </cfRule>
  </conditionalFormatting>
  <conditionalFormatting sqref="D164:E164">
    <cfRule type="cellIs" dxfId="114" priority="36" operator="lessThan">
      <formula>-0.1</formula>
    </cfRule>
  </conditionalFormatting>
  <conditionalFormatting sqref="C164">
    <cfRule type="cellIs" dxfId="113" priority="35" operator="lessThan">
      <formula>-0.1</formula>
    </cfRule>
  </conditionalFormatting>
  <conditionalFormatting sqref="D165:E165">
    <cfRule type="cellIs" dxfId="112" priority="34" operator="lessThan">
      <formula>-0.1</formula>
    </cfRule>
  </conditionalFormatting>
  <conditionalFormatting sqref="C165">
    <cfRule type="cellIs" dxfId="111" priority="33" operator="lessThan">
      <formula>-0.1</formula>
    </cfRule>
  </conditionalFormatting>
  <conditionalFormatting sqref="D166:E166">
    <cfRule type="cellIs" dxfId="110" priority="32" operator="lessThan">
      <formula>-0.1</formula>
    </cfRule>
  </conditionalFormatting>
  <conditionalFormatting sqref="C166">
    <cfRule type="cellIs" dxfId="109" priority="31" operator="lessThan">
      <formula>-0.1</formula>
    </cfRule>
  </conditionalFormatting>
  <conditionalFormatting sqref="E142">
    <cfRule type="cellIs" dxfId="108" priority="30" operator="lessThan">
      <formula>0</formula>
    </cfRule>
  </conditionalFormatting>
  <conditionalFormatting sqref="E141">
    <cfRule type="cellIs" dxfId="107" priority="29" operator="greaterThan">
      <formula>0.6999</formula>
    </cfRule>
  </conditionalFormatting>
  <conditionalFormatting sqref="E141">
    <cfRule type="cellIs" dxfId="106" priority="28" operator="greaterThan">
      <formula>0.6999</formula>
    </cfRule>
  </conditionalFormatting>
  <conditionalFormatting sqref="E57">
    <cfRule type="cellIs" dxfId="105" priority="26" operator="lessThan">
      <formula>0</formula>
    </cfRule>
  </conditionalFormatting>
  <conditionalFormatting sqref="E54">
    <cfRule type="cellIs" dxfId="104" priority="25" operator="lessThan">
      <formula>-0.1</formula>
    </cfRule>
  </conditionalFormatting>
  <conditionalFormatting sqref="E56">
    <cfRule type="cellIs" dxfId="103" priority="24" operator="greaterThan">
      <formula>0.6999</formula>
    </cfRule>
  </conditionalFormatting>
  <conditionalFormatting sqref="E56">
    <cfRule type="cellIs" dxfId="102" priority="23" operator="greaterThan">
      <formula>0.6999</formula>
    </cfRule>
  </conditionalFormatting>
  <conditionalFormatting sqref="D75:E75">
    <cfRule type="cellIs" dxfId="101" priority="22" operator="lessThan">
      <formula>-0.1</formula>
    </cfRule>
  </conditionalFormatting>
  <conditionalFormatting sqref="D76:E76">
    <cfRule type="cellIs" dxfId="100" priority="21" operator="lessThan">
      <formula>-0.1</formula>
    </cfRule>
  </conditionalFormatting>
  <conditionalFormatting sqref="D81:E81">
    <cfRule type="cellIs" dxfId="99" priority="20" operator="lessThan">
      <formula>-0.1</formula>
    </cfRule>
  </conditionalFormatting>
  <conditionalFormatting sqref="D82:E82">
    <cfRule type="cellIs" dxfId="98" priority="19" operator="lessThan">
      <formula>-0.1</formula>
    </cfRule>
  </conditionalFormatting>
  <conditionalFormatting sqref="D83:E83">
    <cfRule type="cellIs" dxfId="97" priority="18" operator="lessThan">
      <formula>-0.1</formula>
    </cfRule>
  </conditionalFormatting>
  <conditionalFormatting sqref="D116">
    <cfRule type="cellIs" dxfId="96" priority="17" operator="lessThan">
      <formula>-0.1</formula>
    </cfRule>
  </conditionalFormatting>
  <conditionalFormatting sqref="D117">
    <cfRule type="cellIs" dxfId="95" priority="16" operator="lessThan">
      <formula>-0.1</formula>
    </cfRule>
  </conditionalFormatting>
  <conditionalFormatting sqref="D118">
    <cfRule type="cellIs" dxfId="94" priority="15" operator="lessThan">
      <formula>-0.1</formula>
    </cfRule>
  </conditionalFormatting>
  <conditionalFormatting sqref="D123">
    <cfRule type="cellIs" dxfId="93" priority="14" operator="lessThan">
      <formula>-0.1</formula>
    </cfRule>
  </conditionalFormatting>
  <conditionalFormatting sqref="D124">
    <cfRule type="cellIs" dxfId="92" priority="13" operator="lessThan">
      <formula>-0.1</formula>
    </cfRule>
  </conditionalFormatting>
  <conditionalFormatting sqref="D125">
    <cfRule type="cellIs" dxfId="91" priority="12" operator="lessThan">
      <formula>-0.1</formula>
    </cfRule>
  </conditionalFormatting>
  <conditionalFormatting sqref="E139">
    <cfRule type="cellIs" dxfId="90" priority="11" operator="lessThan">
      <formula>-0.1</formula>
    </cfRule>
  </conditionalFormatting>
  <conditionalFormatting sqref="C143">
    <cfRule type="cellIs" dxfId="89" priority="10" operator="lessThan">
      <formula>-0.1</formula>
    </cfRule>
  </conditionalFormatting>
  <conditionalFormatting sqref="C19">
    <cfRule type="cellIs" dxfId="88" priority="9" operator="lessThan">
      <formula>0</formula>
    </cfRule>
  </conditionalFormatting>
  <conditionalFormatting sqref="C18">
    <cfRule type="cellIs" dxfId="87" priority="8" operator="greaterThan">
      <formula>0.6999</formula>
    </cfRule>
  </conditionalFormatting>
  <conditionalFormatting sqref="C18">
    <cfRule type="cellIs" dxfId="86" priority="7" operator="greaterThan">
      <formula>0.6999</formula>
    </cfRule>
  </conditionalFormatting>
  <conditionalFormatting sqref="C16">
    <cfRule type="cellIs" dxfId="85" priority="6" operator="lessThan">
      <formula>-0.1</formula>
    </cfRule>
  </conditionalFormatting>
  <conditionalFormatting sqref="C17">
    <cfRule type="cellIs" dxfId="84" priority="5" operator="lessThan">
      <formula>-0.1</formula>
    </cfRule>
  </conditionalFormatting>
  <conditionalFormatting sqref="C36">
    <cfRule type="cellIs" dxfId="83" priority="4" operator="lessThan">
      <formula>-0.1</formula>
    </cfRule>
  </conditionalFormatting>
  <conditionalFormatting sqref="C37">
    <cfRule type="cellIs" dxfId="82" priority="3" operator="lessThan">
      <formula>-0.1</formula>
    </cfRule>
  </conditionalFormatting>
  <conditionalFormatting sqref="C38">
    <cfRule type="cellIs" dxfId="81" priority="2" operator="lessThan">
      <formula>-0.1</formula>
    </cfRule>
  </conditionalFormatting>
  <conditionalFormatting sqref="C58">
    <cfRule type="cellIs" dxfId="80" priority="1" operator="lessThan">
      <formula>-0.1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6"/>
  <sheetViews>
    <sheetView workbookViewId="0">
      <selection activeCell="B11" sqref="B11"/>
    </sheetView>
  </sheetViews>
  <sheetFormatPr defaultRowHeight="15" x14ac:dyDescent="0.25"/>
  <cols>
    <col min="1" max="1" width="2.85546875" style="2" customWidth="1"/>
    <col min="2" max="2" width="42.85546875" customWidth="1"/>
    <col min="3" max="3" width="2.85546875" style="2" customWidth="1"/>
    <col min="4" max="4" width="42.85546875" customWidth="1"/>
    <col min="5" max="5" width="2.85546875" style="2" customWidth="1"/>
    <col min="6" max="6" width="42.85546875" customWidth="1"/>
    <col min="7" max="7" width="2.85546875" style="2" customWidth="1"/>
    <col min="8" max="8" width="42.85546875" customWidth="1"/>
    <col min="9" max="9" width="2.85546875" style="2" customWidth="1"/>
  </cols>
  <sheetData>
    <row r="1" spans="1:9" x14ac:dyDescent="0.25">
      <c r="A1" s="1"/>
      <c r="B1" s="1" t="s">
        <v>0</v>
      </c>
      <c r="C1" s="1"/>
      <c r="D1" s="1" t="s">
        <v>1</v>
      </c>
      <c r="E1" s="1"/>
      <c r="F1" s="1" t="s">
        <v>2</v>
      </c>
      <c r="G1" s="1"/>
      <c r="H1" s="1" t="s">
        <v>6</v>
      </c>
      <c r="I1" s="1"/>
    </row>
    <row r="2" spans="1:9" x14ac:dyDescent="0.25">
      <c r="B2" t="s">
        <v>61</v>
      </c>
      <c r="D2" t="s">
        <v>62</v>
      </c>
      <c r="F2" t="str">
        <f ca="1">"TH ECDG Daily Risk Report "&amp;TEXT(Main!$D$4,"yyyymmdd")</f>
        <v>TH ECDG Daily Risk Report 20190822</v>
      </c>
      <c r="H2" s="10" t="str">
        <f ca="1">Main!$B$1&amp;"\FA Report TH ECDG "&amp;TEXT(Main!$D$4,"yyyymmdd")&amp;".zip"</f>
        <v>Y:\Risk Management\Market Risk\Daily Market Risk Reports\ECS\FA report\20190822\FA Report TH ECDG 20190822.zip</v>
      </c>
    </row>
    <row r="3" spans="1:9" x14ac:dyDescent="0.25">
      <c r="D3" t="s">
        <v>63</v>
      </c>
      <c r="H3" s="10"/>
    </row>
    <row r="4" spans="1:9" x14ac:dyDescent="0.25">
      <c r="D4" t="s">
        <v>64</v>
      </c>
      <c r="H4" s="10"/>
    </row>
    <row r="5" spans="1:9" x14ac:dyDescent="0.25">
      <c r="D5" t="s">
        <v>65</v>
      </c>
    </row>
    <row r="6" spans="1:9" x14ac:dyDescent="0.25">
      <c r="D6" t="s">
        <v>66</v>
      </c>
    </row>
    <row r="7" spans="1:9" x14ac:dyDescent="0.25">
      <c r="D7" t="s">
        <v>67</v>
      </c>
    </row>
    <row r="8" spans="1:9" x14ac:dyDescent="0.25">
      <c r="D8" t="s">
        <v>68</v>
      </c>
    </row>
    <row r="9" spans="1:9" x14ac:dyDescent="0.25">
      <c r="D9" t="s">
        <v>69</v>
      </c>
    </row>
    <row r="10" spans="1:9" x14ac:dyDescent="0.25">
      <c r="D10" t="s">
        <v>70</v>
      </c>
    </row>
    <row r="11" spans="1:9" x14ac:dyDescent="0.25">
      <c r="D11" t="s">
        <v>71</v>
      </c>
    </row>
    <row r="12" spans="1:9" x14ac:dyDescent="0.25">
      <c r="D12" t="s">
        <v>72</v>
      </c>
    </row>
    <row r="13" spans="1:9" x14ac:dyDescent="0.25">
      <c r="D13" t="s">
        <v>73</v>
      </c>
    </row>
    <row r="14" spans="1:9" x14ac:dyDescent="0.25">
      <c r="D14" t="s">
        <v>74</v>
      </c>
    </row>
    <row r="15" spans="1:9" x14ac:dyDescent="0.25">
      <c r="D15" t="s">
        <v>75</v>
      </c>
    </row>
    <row r="16" spans="1:9" x14ac:dyDescent="0.25">
      <c r="D16" t="s">
        <v>76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60"/>
  <sheetViews>
    <sheetView zoomScale="70" zoomScaleNormal="70" workbookViewId="0">
      <selection activeCell="A7" sqref="A7:G42"/>
    </sheetView>
  </sheetViews>
  <sheetFormatPr defaultRowHeight="15.75" x14ac:dyDescent="0.3"/>
  <cols>
    <col min="1" max="1" width="33.7109375" style="51" customWidth="1"/>
    <col min="2" max="2" width="16.5703125" style="51" customWidth="1"/>
    <col min="3" max="3" width="16.28515625" style="59" bestFit="1" customWidth="1"/>
    <col min="4" max="4" width="15.28515625" style="59" customWidth="1"/>
    <col min="5" max="5" width="14.42578125" style="59" hidden="1" customWidth="1"/>
    <col min="6" max="6" width="15.28515625" style="59" hidden="1" customWidth="1"/>
    <col min="7" max="7" width="14.140625" style="51" bestFit="1" customWidth="1"/>
  </cols>
  <sheetData>
    <row r="1" spans="1:12" ht="18" x14ac:dyDescent="0.25">
      <c r="A1" s="11" t="s">
        <v>48</v>
      </c>
      <c r="B1" s="12"/>
      <c r="C1" s="13"/>
      <c r="D1" s="13"/>
      <c r="E1" s="13"/>
      <c r="F1" s="13"/>
      <c r="G1" s="12"/>
    </row>
    <row r="2" spans="1:12" ht="15" x14ac:dyDescent="0.25">
      <c r="A2" s="14" t="s">
        <v>14</v>
      </c>
      <c r="B2" s="15">
        <v>43699</v>
      </c>
      <c r="C2" s="16" t="s">
        <v>99</v>
      </c>
      <c r="D2" s="13"/>
      <c r="E2" s="13"/>
      <c r="F2" s="13"/>
      <c r="G2" s="12"/>
    </row>
    <row r="3" spans="1:12" ht="15" x14ac:dyDescent="0.25">
      <c r="A3" s="17"/>
      <c r="B3" s="12"/>
      <c r="C3" s="13"/>
      <c r="D3" s="13"/>
      <c r="E3" s="13"/>
      <c r="F3" s="13" t="s">
        <v>55</v>
      </c>
      <c r="G3" s="67"/>
    </row>
    <row r="4" spans="1:12" x14ac:dyDescent="0.3">
      <c r="A4" s="12" t="s">
        <v>49</v>
      </c>
      <c r="B4" s="63">
        <v>30.785</v>
      </c>
      <c r="C4" s="13"/>
      <c r="D4" s="51"/>
      <c r="E4" s="51"/>
      <c r="F4" s="13"/>
      <c r="G4" s="67"/>
    </row>
    <row r="5" spans="1:12" x14ac:dyDescent="0.3">
      <c r="A5" s="59" t="s">
        <v>16</v>
      </c>
      <c r="B5" s="64">
        <v>7.3604303599999996</v>
      </c>
      <c r="C5" s="13"/>
      <c r="E5" s="68"/>
      <c r="F5" s="13"/>
      <c r="G5" s="67"/>
    </row>
    <row r="6" spans="1:12" x14ac:dyDescent="0.3">
      <c r="A6" s="59"/>
      <c r="B6" s="68"/>
      <c r="C6" s="13"/>
      <c r="E6" s="68"/>
      <c r="F6" s="13"/>
      <c r="G6" s="12"/>
    </row>
    <row r="7" spans="1:12" ht="15" x14ac:dyDescent="0.25">
      <c r="A7" s="12"/>
      <c r="B7" s="18"/>
      <c r="C7" s="13"/>
      <c r="D7" s="13"/>
      <c r="E7" s="13"/>
      <c r="F7" s="13"/>
      <c r="G7" s="12"/>
      <c r="L7" t="s">
        <v>55</v>
      </c>
    </row>
    <row r="8" spans="1:12" ht="30" x14ac:dyDescent="0.25">
      <c r="A8" s="19" t="s">
        <v>17</v>
      </c>
      <c r="B8" s="20" t="s">
        <v>18</v>
      </c>
      <c r="C8" s="20" t="s">
        <v>43</v>
      </c>
      <c r="D8" s="20" t="s">
        <v>44</v>
      </c>
      <c r="E8" s="20" t="s">
        <v>56</v>
      </c>
      <c r="F8" s="20" t="s">
        <v>57</v>
      </c>
      <c r="G8" s="20" t="s">
        <v>45</v>
      </c>
    </row>
    <row r="9" spans="1:12" ht="15" x14ac:dyDescent="0.25">
      <c r="A9" s="21" t="s">
        <v>50</v>
      </c>
      <c r="B9" s="22" t="s">
        <v>25</v>
      </c>
      <c r="C9" s="69">
        <v>-237997</v>
      </c>
      <c r="D9" s="70">
        <v>-220346</v>
      </c>
      <c r="E9" s="71" t="s">
        <v>58</v>
      </c>
      <c r="F9" s="72"/>
      <c r="G9" s="70">
        <v>-89383</v>
      </c>
    </row>
    <row r="10" spans="1:12" ht="15" x14ac:dyDescent="0.25">
      <c r="A10" s="25"/>
      <c r="B10" s="22" t="s">
        <v>26</v>
      </c>
      <c r="C10" s="73">
        <v>-35000000</v>
      </c>
      <c r="D10" s="74">
        <v>-7350000</v>
      </c>
      <c r="E10" s="75" t="s">
        <v>59</v>
      </c>
      <c r="F10" s="75" t="s">
        <v>59</v>
      </c>
      <c r="G10" s="76">
        <v>-27650000</v>
      </c>
    </row>
    <row r="11" spans="1:12" x14ac:dyDescent="0.3">
      <c r="A11" s="25"/>
      <c r="B11" s="77" t="s">
        <v>27</v>
      </c>
      <c r="C11" s="78">
        <v>6.7999142857142853E-3</v>
      </c>
      <c r="D11" s="79">
        <v>2.997904761904762E-2</v>
      </c>
      <c r="E11" s="80"/>
      <c r="F11" s="80"/>
      <c r="G11" s="79">
        <v>3.2326582278481013E-3</v>
      </c>
    </row>
    <row r="12" spans="1:12" ht="15" x14ac:dyDescent="0.25">
      <c r="A12" s="37"/>
      <c r="B12" s="22" t="s">
        <v>28</v>
      </c>
      <c r="C12" s="38">
        <v>0</v>
      </c>
      <c r="D12" s="81">
        <v>0</v>
      </c>
      <c r="E12" s="82"/>
      <c r="F12" s="82"/>
      <c r="G12" s="81">
        <v>0</v>
      </c>
    </row>
    <row r="13" spans="1:12" x14ac:dyDescent="0.3">
      <c r="A13" s="83" t="s">
        <v>51</v>
      </c>
      <c r="B13" s="84" t="s">
        <v>25</v>
      </c>
      <c r="C13" s="69">
        <v>-35076.483933000003</v>
      </c>
      <c r="D13" s="70">
        <v>-35076.483933000003</v>
      </c>
      <c r="E13" s="71">
        <v>-35076.483933000003</v>
      </c>
      <c r="F13" s="72">
        <v>0</v>
      </c>
      <c r="G13" s="85"/>
    </row>
    <row r="14" spans="1:12" x14ac:dyDescent="0.3">
      <c r="A14" s="86"/>
      <c r="B14" s="77" t="s">
        <v>26</v>
      </c>
      <c r="C14" s="73">
        <v>4700000</v>
      </c>
      <c r="D14" s="74">
        <v>4700000</v>
      </c>
      <c r="E14" s="75" t="s">
        <v>59</v>
      </c>
      <c r="F14" s="75" t="s">
        <v>59</v>
      </c>
      <c r="G14" s="87"/>
    </row>
    <row r="15" spans="1:12" x14ac:dyDescent="0.3">
      <c r="A15" s="77"/>
      <c r="B15" s="77" t="s">
        <v>27</v>
      </c>
      <c r="C15" s="88">
        <v>7.4630816878723414E-3</v>
      </c>
      <c r="D15" s="89">
        <v>7.4630816878723414E-3</v>
      </c>
      <c r="E15" s="80"/>
      <c r="F15" s="80"/>
      <c r="G15" s="87"/>
    </row>
    <row r="16" spans="1:12" x14ac:dyDescent="0.3">
      <c r="A16" s="90"/>
      <c r="B16" s="77" t="s">
        <v>28</v>
      </c>
      <c r="C16" s="91">
        <v>0</v>
      </c>
      <c r="D16" s="92">
        <v>0</v>
      </c>
      <c r="E16" s="82"/>
      <c r="F16" s="82"/>
      <c r="G16" s="93"/>
    </row>
    <row r="17" spans="1:9" ht="15" x14ac:dyDescent="0.25">
      <c r="A17" s="21" t="s">
        <v>52</v>
      </c>
      <c r="B17" s="21" t="s">
        <v>25</v>
      </c>
      <c r="C17" s="94">
        <v>26838</v>
      </c>
      <c r="D17" s="95">
        <v>37259</v>
      </c>
      <c r="E17" s="96">
        <v>37259</v>
      </c>
      <c r="F17" s="97"/>
      <c r="G17" s="95">
        <v>-10420</v>
      </c>
    </row>
    <row r="18" spans="1:9" ht="15" x14ac:dyDescent="0.25">
      <c r="A18" s="25"/>
      <c r="B18" s="25" t="s">
        <v>26</v>
      </c>
      <c r="C18" s="73">
        <v>4500000</v>
      </c>
      <c r="D18" s="74">
        <v>945000</v>
      </c>
      <c r="E18" s="75" t="s">
        <v>59</v>
      </c>
      <c r="F18" s="75" t="s">
        <v>59</v>
      </c>
      <c r="G18" s="76">
        <v>3555000</v>
      </c>
    </row>
    <row r="19" spans="1:9" ht="15" x14ac:dyDescent="0.25">
      <c r="A19" s="25"/>
      <c r="B19" s="25" t="s">
        <v>27</v>
      </c>
      <c r="C19" s="78">
        <v>5.9639999999999997E-3</v>
      </c>
      <c r="D19" s="79">
        <v>3.9427513227513228E-2</v>
      </c>
      <c r="E19" s="80"/>
      <c r="F19" s="80"/>
      <c r="G19" s="79">
        <v>2.9310829817158933E-3</v>
      </c>
    </row>
    <row r="20" spans="1:9" ht="15" x14ac:dyDescent="0.25">
      <c r="A20" s="37"/>
      <c r="B20" s="37" t="s">
        <v>28</v>
      </c>
      <c r="C20" s="38">
        <v>0</v>
      </c>
      <c r="D20" s="81">
        <v>0</v>
      </c>
      <c r="E20" s="82"/>
      <c r="F20" s="82"/>
      <c r="G20" s="81">
        <v>0</v>
      </c>
    </row>
    <row r="21" spans="1:9" ht="15" x14ac:dyDescent="0.25">
      <c r="A21" s="42" t="s">
        <v>31</v>
      </c>
      <c r="B21" s="21" t="s">
        <v>25</v>
      </c>
      <c r="C21" s="26">
        <v>0</v>
      </c>
      <c r="D21" s="98">
        <v>0</v>
      </c>
      <c r="E21" s="97"/>
      <c r="F21" s="97"/>
      <c r="G21" s="98">
        <v>0</v>
      </c>
    </row>
    <row r="22" spans="1:9" ht="15" x14ac:dyDescent="0.25">
      <c r="A22" s="43"/>
      <c r="B22" s="25" t="s">
        <v>26</v>
      </c>
      <c r="C22" s="73">
        <v>5000000</v>
      </c>
      <c r="D22" s="74">
        <v>1050000</v>
      </c>
      <c r="E22" s="75" t="s">
        <v>59</v>
      </c>
      <c r="F22" s="75" t="s">
        <v>59</v>
      </c>
      <c r="G22" s="76">
        <v>3950000</v>
      </c>
    </row>
    <row r="23" spans="1:9" ht="15" x14ac:dyDescent="0.25">
      <c r="A23" s="25"/>
      <c r="B23" s="25" t="s">
        <v>27</v>
      </c>
      <c r="C23" s="78">
        <v>0</v>
      </c>
      <c r="D23" s="79">
        <v>0</v>
      </c>
      <c r="E23" s="80"/>
      <c r="F23" s="80"/>
      <c r="G23" s="79">
        <v>0</v>
      </c>
    </row>
    <row r="24" spans="1:9" ht="15" x14ac:dyDescent="0.25">
      <c r="A24" s="25"/>
      <c r="B24" s="25" t="s">
        <v>28</v>
      </c>
      <c r="C24" s="38">
        <v>0</v>
      </c>
      <c r="D24" s="81">
        <v>0</v>
      </c>
      <c r="E24" s="82"/>
      <c r="F24" s="82"/>
      <c r="G24" s="98">
        <v>0</v>
      </c>
    </row>
    <row r="25" spans="1:9" ht="15" x14ac:dyDescent="0.25">
      <c r="A25" s="42" t="s">
        <v>32</v>
      </c>
      <c r="B25" s="21" t="s">
        <v>33</v>
      </c>
      <c r="C25" s="94">
        <v>-14.759862270586325</v>
      </c>
      <c r="D25" s="70">
        <v>-0.39131525093389635</v>
      </c>
      <c r="E25" s="71">
        <v>-0.39131525093389635</v>
      </c>
      <c r="F25" s="71">
        <v>0</v>
      </c>
      <c r="G25" s="70">
        <v>-14.368369010881922</v>
      </c>
    </row>
    <row r="26" spans="1:9" ht="15" x14ac:dyDescent="0.25">
      <c r="A26" s="43"/>
      <c r="B26" s="25" t="s">
        <v>60</v>
      </c>
      <c r="C26" s="94">
        <v>-454.38236000000001</v>
      </c>
      <c r="D26" s="95">
        <v>-12.04664</v>
      </c>
      <c r="E26" s="96">
        <v>-12.04664</v>
      </c>
      <c r="F26" s="96"/>
      <c r="G26" s="95">
        <v>-442.33024</v>
      </c>
    </row>
    <row r="27" spans="1:9" ht="15" x14ac:dyDescent="0.25">
      <c r="A27" s="43"/>
      <c r="B27" s="25" t="s">
        <v>35</v>
      </c>
      <c r="C27" s="73">
        <v>1500</v>
      </c>
      <c r="D27" s="74">
        <v>315</v>
      </c>
      <c r="E27" s="75" t="s">
        <v>59</v>
      </c>
      <c r="F27" s="75" t="s">
        <v>59</v>
      </c>
      <c r="G27" s="76">
        <v>1185</v>
      </c>
    </row>
    <row r="28" spans="1:9" ht="15" x14ac:dyDescent="0.25">
      <c r="A28" s="25"/>
      <c r="B28" s="25" t="s">
        <v>27</v>
      </c>
      <c r="C28" s="78">
        <v>9.8399081803908824E-3</v>
      </c>
      <c r="D28" s="79">
        <v>1.2422706378853853E-3</v>
      </c>
      <c r="E28" s="80"/>
      <c r="F28" s="80"/>
      <c r="G28" s="79">
        <v>1.2125205916356052E-2</v>
      </c>
    </row>
    <row r="29" spans="1:9" ht="15" x14ac:dyDescent="0.25">
      <c r="A29" s="37"/>
      <c r="B29" s="37" t="s">
        <v>28</v>
      </c>
      <c r="C29" s="38">
        <v>0</v>
      </c>
      <c r="D29" s="81">
        <v>0</v>
      </c>
      <c r="E29" s="82"/>
      <c r="F29" s="82"/>
      <c r="G29" s="81">
        <v>0</v>
      </c>
    </row>
    <row r="30" spans="1:9" ht="15" x14ac:dyDescent="0.25">
      <c r="A30" s="21" t="s">
        <v>53</v>
      </c>
      <c r="B30" s="45" t="s">
        <v>37</v>
      </c>
      <c r="C30" s="94">
        <v>17049149.752460003</v>
      </c>
      <c r="D30" s="95">
        <v>1738995.47156</v>
      </c>
      <c r="E30" s="96">
        <v>1738995.47156</v>
      </c>
      <c r="F30" s="97" t="s">
        <v>58</v>
      </c>
      <c r="G30" s="95">
        <v>15310154.280890001</v>
      </c>
    </row>
    <row r="31" spans="1:9" ht="15" x14ac:dyDescent="0.25">
      <c r="A31" s="25"/>
      <c r="B31" s="46" t="s">
        <v>38</v>
      </c>
      <c r="C31" s="73">
        <v>8588722.0216199998</v>
      </c>
      <c r="D31" s="74">
        <v>187384.96051</v>
      </c>
      <c r="E31" s="75">
        <v>187384.96051</v>
      </c>
      <c r="F31" s="75" t="s">
        <v>58</v>
      </c>
      <c r="G31" s="74">
        <v>8401337.0611099992</v>
      </c>
    </row>
    <row r="32" spans="1:9" ht="15" x14ac:dyDescent="0.25">
      <c r="A32" s="43"/>
      <c r="B32" s="46" t="s">
        <v>25</v>
      </c>
      <c r="C32" s="73">
        <v>25637871.774080001</v>
      </c>
      <c r="D32" s="74">
        <v>1926380.4320700001</v>
      </c>
      <c r="E32" s="75">
        <v>1926380.4320700001</v>
      </c>
      <c r="F32" s="75" t="s">
        <v>58</v>
      </c>
      <c r="G32" s="74">
        <v>23711491.342</v>
      </c>
      <c r="I32" t="s">
        <v>48</v>
      </c>
    </row>
    <row r="33" spans="1:14" ht="15" x14ac:dyDescent="0.25">
      <c r="A33" s="43"/>
      <c r="B33" s="46" t="s">
        <v>26</v>
      </c>
      <c r="C33" s="73">
        <v>-76050000</v>
      </c>
      <c r="D33" s="99"/>
      <c r="E33" s="100"/>
      <c r="F33" s="100"/>
      <c r="G33" s="99"/>
      <c r="I33" t="s">
        <v>14</v>
      </c>
      <c r="J33">
        <v>43699</v>
      </c>
      <c r="K33" t="s">
        <v>99</v>
      </c>
    </row>
    <row r="34" spans="1:14" ht="15" x14ac:dyDescent="0.25">
      <c r="A34" s="25"/>
      <c r="B34" s="46" t="s">
        <v>27</v>
      </c>
      <c r="C34" s="78">
        <v>0</v>
      </c>
      <c r="D34" s="99"/>
      <c r="E34" s="101"/>
      <c r="F34" s="101"/>
      <c r="G34" s="99"/>
      <c r="N34" t="s">
        <v>55</v>
      </c>
    </row>
    <row r="35" spans="1:14" ht="15" x14ac:dyDescent="0.25">
      <c r="A35" s="25"/>
      <c r="B35" s="46" t="s">
        <v>28</v>
      </c>
      <c r="C35" s="47">
        <v>0</v>
      </c>
      <c r="D35" s="99"/>
      <c r="E35" s="102"/>
      <c r="F35" s="102"/>
      <c r="G35" s="99"/>
      <c r="I35" t="s">
        <v>49</v>
      </c>
      <c r="J35">
        <v>30.785</v>
      </c>
    </row>
    <row r="36" spans="1:14" ht="15" x14ac:dyDescent="0.25">
      <c r="A36" s="25"/>
      <c r="B36" s="46" t="s">
        <v>39</v>
      </c>
      <c r="C36" s="103">
        <v>243209.2546400018</v>
      </c>
      <c r="D36" s="104">
        <v>-5840.7453699999023</v>
      </c>
      <c r="E36" s="105">
        <v>-5840.7453699999023</v>
      </c>
      <c r="F36" s="106"/>
      <c r="G36" s="104">
        <v>249050</v>
      </c>
    </row>
    <row r="37" spans="1:14" ht="15" x14ac:dyDescent="0.25">
      <c r="A37" s="21" t="s">
        <v>54</v>
      </c>
      <c r="B37" s="45" t="s">
        <v>37</v>
      </c>
      <c r="C37" s="69">
        <v>-195006.83930999786</v>
      </c>
      <c r="D37" s="70">
        <v>40622.581690000137</v>
      </c>
      <c r="E37" s="107">
        <v>40622.581690000137</v>
      </c>
      <c r="F37" s="107"/>
      <c r="G37" s="108">
        <v>-235629.42101000063</v>
      </c>
    </row>
    <row r="38" spans="1:14" ht="15" x14ac:dyDescent="0.25">
      <c r="A38" s="25"/>
      <c r="B38" s="46" t="s">
        <v>38</v>
      </c>
      <c r="C38" s="94">
        <v>-1353299.4863799997</v>
      </c>
      <c r="D38" s="95">
        <v>72808.857610000006</v>
      </c>
      <c r="E38" s="109">
        <v>72808.857610000006</v>
      </c>
      <c r="F38" s="109"/>
      <c r="G38" s="110">
        <v>-1426108.34399</v>
      </c>
    </row>
    <row r="39" spans="1:14" ht="15" x14ac:dyDescent="0.25">
      <c r="A39" s="43"/>
      <c r="B39" s="46" t="s">
        <v>25</v>
      </c>
      <c r="C39" s="94">
        <v>-1548306.3256899975</v>
      </c>
      <c r="D39" s="95">
        <v>113431.4393000002</v>
      </c>
      <c r="E39" s="109">
        <v>113431.4393000002</v>
      </c>
      <c r="F39" s="109"/>
      <c r="G39" s="110">
        <v>-1661737.7650000006</v>
      </c>
    </row>
    <row r="40" spans="1:14" ht="15" x14ac:dyDescent="0.25">
      <c r="A40" s="43"/>
      <c r="B40" s="46" t="s">
        <v>26</v>
      </c>
      <c r="C40" s="73">
        <v>-46800000</v>
      </c>
      <c r="D40" s="99"/>
      <c r="E40" s="101"/>
      <c r="F40" s="101"/>
      <c r="G40" s="99"/>
    </row>
    <row r="41" spans="1:14" ht="15" x14ac:dyDescent="0.25">
      <c r="A41" s="25"/>
      <c r="B41" s="46" t="s">
        <v>27</v>
      </c>
      <c r="C41" s="78">
        <v>3.3083468497649517E-2</v>
      </c>
      <c r="D41" s="99"/>
      <c r="E41" s="102"/>
      <c r="F41" s="102"/>
      <c r="G41" s="99"/>
    </row>
    <row r="42" spans="1:14" ht="15" x14ac:dyDescent="0.25">
      <c r="A42" s="37"/>
      <c r="B42" s="111" t="s">
        <v>28</v>
      </c>
      <c r="C42" s="38">
        <v>0</v>
      </c>
      <c r="D42" s="112"/>
      <c r="E42" s="113"/>
      <c r="F42" s="113"/>
      <c r="G42" s="112"/>
    </row>
    <row r="43" spans="1:14" x14ac:dyDescent="0.3">
      <c r="F43" s="114"/>
      <c r="G43" s="115"/>
    </row>
    <row r="44" spans="1:14" x14ac:dyDescent="0.3">
      <c r="F44" s="114"/>
      <c r="G44" s="115"/>
    </row>
    <row r="45" spans="1:14" x14ac:dyDescent="0.3">
      <c r="G45" s="59"/>
    </row>
    <row r="46" spans="1:14" x14ac:dyDescent="0.3">
      <c r="F46" s="114"/>
      <c r="G46" s="116"/>
    </row>
    <row r="47" spans="1:14" x14ac:dyDescent="0.3">
      <c r="F47" s="114"/>
      <c r="G47" s="117"/>
    </row>
    <row r="48" spans="1:14" x14ac:dyDescent="0.3">
      <c r="F48" s="114"/>
      <c r="G48" s="117"/>
    </row>
    <row r="49" spans="1:7" x14ac:dyDescent="0.3">
      <c r="F49" s="114"/>
      <c r="G49" s="118"/>
    </row>
    <row r="50" spans="1:7" ht="21" x14ac:dyDescent="0.3">
      <c r="F50" s="114"/>
      <c r="G50" s="119"/>
    </row>
    <row r="51" spans="1:7" x14ac:dyDescent="0.3">
      <c r="D51" s="120"/>
      <c r="F51" s="114"/>
      <c r="G51" s="117"/>
    </row>
    <row r="52" spans="1:7" x14ac:dyDescent="0.3">
      <c r="F52" s="114"/>
      <c r="G52" s="117"/>
    </row>
    <row r="53" spans="1:7" x14ac:dyDescent="0.3">
      <c r="F53" s="114"/>
      <c r="G53" s="117"/>
    </row>
    <row r="54" spans="1:7" x14ac:dyDescent="0.3">
      <c r="F54" s="114"/>
      <c r="G54" s="117"/>
    </row>
    <row r="60" spans="1:7" x14ac:dyDescent="0.3">
      <c r="A60" s="121" t="s">
        <v>30</v>
      </c>
    </row>
  </sheetData>
  <conditionalFormatting sqref="C29 C24:D24 C20:D20 G20 C12:E12">
    <cfRule type="cellIs" dxfId="79" priority="80" operator="lessThan">
      <formula>0</formula>
    </cfRule>
  </conditionalFormatting>
  <conditionalFormatting sqref="G11">
    <cfRule type="cellIs" dxfId="78" priority="77" operator="greaterThan">
      <formula>0.6999</formula>
    </cfRule>
    <cfRule type="cellIs" dxfId="77" priority="78" operator="greaterThan">
      <formula>0.6999</formula>
    </cfRule>
    <cfRule type="cellIs" dxfId="76" priority="79" operator="greaterThan">
      <formula>0.6999</formula>
    </cfRule>
  </conditionalFormatting>
  <conditionalFormatting sqref="E11">
    <cfRule type="cellIs" dxfId="75" priority="74" operator="greaterThan">
      <formula>0.6999</formula>
    </cfRule>
    <cfRule type="cellIs" dxfId="74" priority="75" operator="greaterThan">
      <formula>0.6999</formula>
    </cfRule>
    <cfRule type="cellIs" dxfId="73" priority="76" operator="greaterThan">
      <formula>0.6999</formula>
    </cfRule>
  </conditionalFormatting>
  <conditionalFormatting sqref="D11">
    <cfRule type="cellIs" dxfId="72" priority="71" operator="greaterThan">
      <formula>0.6999</formula>
    </cfRule>
    <cfRule type="cellIs" dxfId="71" priority="72" operator="greaterThan">
      <formula>0.6999</formula>
    </cfRule>
    <cfRule type="cellIs" dxfId="70" priority="73" operator="greaterThan">
      <formula>0.6999</formula>
    </cfRule>
  </conditionalFormatting>
  <conditionalFormatting sqref="C11">
    <cfRule type="cellIs" dxfId="69" priority="68" operator="greaterThan">
      <formula>0.6999</formula>
    </cfRule>
    <cfRule type="cellIs" dxfId="68" priority="69" operator="greaterThan">
      <formula>0.6999</formula>
    </cfRule>
    <cfRule type="cellIs" dxfId="67" priority="70" operator="greaterThan">
      <formula>0.6999</formula>
    </cfRule>
  </conditionalFormatting>
  <conditionalFormatting sqref="C19">
    <cfRule type="cellIs" dxfId="66" priority="65" operator="greaterThan">
      <formula>0.6999</formula>
    </cfRule>
    <cfRule type="cellIs" dxfId="65" priority="66" operator="greaterThan">
      <formula>0.6999</formula>
    </cfRule>
    <cfRule type="cellIs" dxfId="64" priority="67" operator="greaterThan">
      <formula>0.6999</formula>
    </cfRule>
  </conditionalFormatting>
  <conditionalFormatting sqref="D19">
    <cfRule type="cellIs" dxfId="63" priority="62" operator="greaterThan">
      <formula>0.6999</formula>
    </cfRule>
    <cfRule type="cellIs" dxfId="62" priority="63" operator="greaterThan">
      <formula>0.6999</formula>
    </cfRule>
    <cfRule type="cellIs" dxfId="61" priority="64" operator="greaterThan">
      <formula>0.6999</formula>
    </cfRule>
  </conditionalFormatting>
  <conditionalFormatting sqref="G19">
    <cfRule type="cellIs" dxfId="60" priority="59" operator="greaterThan">
      <formula>0.6999</formula>
    </cfRule>
    <cfRule type="cellIs" dxfId="59" priority="60" operator="greaterThan">
      <formula>0.6999</formula>
    </cfRule>
    <cfRule type="cellIs" dxfId="58" priority="61" operator="greaterThan">
      <formula>0.6999</formula>
    </cfRule>
  </conditionalFormatting>
  <conditionalFormatting sqref="G23">
    <cfRule type="cellIs" dxfId="57" priority="56" operator="greaterThan">
      <formula>0.6999</formula>
    </cfRule>
    <cfRule type="cellIs" dxfId="56" priority="57" operator="greaterThan">
      <formula>0.6999</formula>
    </cfRule>
    <cfRule type="cellIs" dxfId="55" priority="58" operator="greaterThan">
      <formula>0.6999</formula>
    </cfRule>
  </conditionalFormatting>
  <conditionalFormatting sqref="D23">
    <cfRule type="cellIs" dxfId="54" priority="53" operator="greaterThan">
      <formula>0.6999</formula>
    </cfRule>
    <cfRule type="cellIs" dxfId="53" priority="54" operator="greaterThan">
      <formula>0.6999</formula>
    </cfRule>
    <cfRule type="cellIs" dxfId="52" priority="55" operator="greaterThan">
      <formula>0.6999</formula>
    </cfRule>
  </conditionalFormatting>
  <conditionalFormatting sqref="C23">
    <cfRule type="cellIs" dxfId="51" priority="50" operator="greaterThan">
      <formula>0.6999</formula>
    </cfRule>
    <cfRule type="cellIs" dxfId="50" priority="51" operator="greaterThan">
      <formula>0.6999</formula>
    </cfRule>
    <cfRule type="cellIs" dxfId="49" priority="52" operator="greaterThan">
      <formula>0.6999</formula>
    </cfRule>
  </conditionalFormatting>
  <conditionalFormatting sqref="C28">
    <cfRule type="cellIs" dxfId="48" priority="47" operator="greaterThan">
      <formula>0.6999</formula>
    </cfRule>
    <cfRule type="cellIs" dxfId="47" priority="48" operator="greaterThan">
      <formula>0.6999</formula>
    </cfRule>
    <cfRule type="cellIs" dxfId="46" priority="49" operator="greaterThan">
      <formula>0.6999</formula>
    </cfRule>
  </conditionalFormatting>
  <conditionalFormatting sqref="D28">
    <cfRule type="cellIs" dxfId="45" priority="44" operator="greaterThan">
      <formula>0.6999</formula>
    </cfRule>
    <cfRule type="cellIs" dxfId="44" priority="45" operator="greaterThan">
      <formula>0.6999</formula>
    </cfRule>
    <cfRule type="cellIs" dxfId="43" priority="46" operator="greaterThan">
      <formula>0.6999</formula>
    </cfRule>
  </conditionalFormatting>
  <conditionalFormatting sqref="C34">
    <cfRule type="cellIs" dxfId="42" priority="38" operator="greaterThan">
      <formula>0.6999</formula>
    </cfRule>
    <cfRule type="cellIs" dxfId="41" priority="39" operator="greaterThan">
      <formula>0.6999</formula>
    </cfRule>
    <cfRule type="cellIs" dxfId="40" priority="40" operator="greaterThan">
      <formula>0.6999</formula>
    </cfRule>
  </conditionalFormatting>
  <conditionalFormatting sqref="G28">
    <cfRule type="cellIs" dxfId="39" priority="41" operator="greaterThan">
      <formula>0.6999</formula>
    </cfRule>
    <cfRule type="cellIs" dxfId="38" priority="42" operator="greaterThan">
      <formula>0.6999</formula>
    </cfRule>
    <cfRule type="cellIs" dxfId="37" priority="43" operator="greaterThan">
      <formula>0.6999</formula>
    </cfRule>
  </conditionalFormatting>
  <conditionalFormatting sqref="C41">
    <cfRule type="cellIs" dxfId="36" priority="35" operator="greaterThan">
      <formula>0.6999</formula>
    </cfRule>
    <cfRule type="cellIs" dxfId="35" priority="36" operator="greaterThan">
      <formula>0.6999</formula>
    </cfRule>
    <cfRule type="cellIs" dxfId="34" priority="37" operator="greaterThan">
      <formula>0.6999</formula>
    </cfRule>
  </conditionalFormatting>
  <conditionalFormatting sqref="F11">
    <cfRule type="cellIs" dxfId="33" priority="32" operator="greaterThan">
      <formula>0.6999</formula>
    </cfRule>
    <cfRule type="cellIs" dxfId="32" priority="33" operator="greaterThan">
      <formula>0.6999</formula>
    </cfRule>
    <cfRule type="cellIs" dxfId="31" priority="34" operator="greaterThan">
      <formula>0.6999</formula>
    </cfRule>
  </conditionalFormatting>
  <conditionalFormatting sqref="E19">
    <cfRule type="cellIs" dxfId="30" priority="19" operator="greaterThan">
      <formula>0.6999</formula>
    </cfRule>
    <cfRule type="cellIs" dxfId="29" priority="20" operator="greaterThan">
      <formula>0.6999</formula>
    </cfRule>
    <cfRule type="cellIs" dxfId="28" priority="21" operator="greaterThan">
      <formula>0.6999</formula>
    </cfRule>
  </conditionalFormatting>
  <conditionalFormatting sqref="F15">
    <cfRule type="cellIs" dxfId="27" priority="23" operator="greaterThan">
      <formula>0.6999</formula>
    </cfRule>
    <cfRule type="cellIs" dxfId="26" priority="24" operator="greaterThan">
      <formula>0.6999</formula>
    </cfRule>
    <cfRule type="cellIs" dxfId="25" priority="25" operator="greaterThan">
      <formula>0.6999</formula>
    </cfRule>
  </conditionalFormatting>
  <conditionalFormatting sqref="C37:G38 C39">
    <cfRule type="cellIs" dxfId="24" priority="31" operator="lessThan">
      <formula>0</formula>
    </cfRule>
  </conditionalFormatting>
  <conditionalFormatting sqref="C16 G16">
    <cfRule type="cellIs" dxfId="23" priority="30" operator="lessThan">
      <formula>0</formula>
    </cfRule>
  </conditionalFormatting>
  <conditionalFormatting sqref="E16">
    <cfRule type="cellIs" dxfId="22" priority="29" operator="lessThan">
      <formula>0</formula>
    </cfRule>
  </conditionalFormatting>
  <conditionalFormatting sqref="E15">
    <cfRule type="cellIs" dxfId="21" priority="26" operator="greaterThan">
      <formula>0.6999</formula>
    </cfRule>
    <cfRule type="cellIs" dxfId="20" priority="27" operator="greaterThan">
      <formula>0.6999</formula>
    </cfRule>
    <cfRule type="cellIs" dxfId="19" priority="28" operator="greaterThan">
      <formula>0.6999</formula>
    </cfRule>
  </conditionalFormatting>
  <conditionalFormatting sqref="E20">
    <cfRule type="cellIs" dxfId="18" priority="22" operator="lessThan">
      <formula>0</formula>
    </cfRule>
  </conditionalFormatting>
  <conditionalFormatting sqref="F19">
    <cfRule type="cellIs" dxfId="17" priority="16" operator="greaterThan">
      <formula>0.6999</formula>
    </cfRule>
    <cfRule type="cellIs" dxfId="16" priority="17" operator="greaterThan">
      <formula>0.6999</formula>
    </cfRule>
    <cfRule type="cellIs" dxfId="15" priority="18" operator="greaterThan">
      <formula>0.6999</formula>
    </cfRule>
  </conditionalFormatting>
  <conditionalFormatting sqref="E24">
    <cfRule type="cellIs" dxfId="14" priority="15" operator="lessThan">
      <formula>0</formula>
    </cfRule>
  </conditionalFormatting>
  <conditionalFormatting sqref="E23">
    <cfRule type="cellIs" dxfId="13" priority="12" operator="greaterThan">
      <formula>0.6999</formula>
    </cfRule>
    <cfRule type="cellIs" dxfId="12" priority="13" operator="greaterThan">
      <formula>0.6999</formula>
    </cfRule>
    <cfRule type="cellIs" dxfId="11" priority="14" operator="greaterThan">
      <formula>0.6999</formula>
    </cfRule>
  </conditionalFormatting>
  <conditionalFormatting sqref="F23">
    <cfRule type="cellIs" dxfId="10" priority="9" operator="greaterThan">
      <formula>0.6999</formula>
    </cfRule>
    <cfRule type="cellIs" dxfId="9" priority="10" operator="greaterThan">
      <formula>0.6999</formula>
    </cfRule>
    <cfRule type="cellIs" dxfId="8" priority="11" operator="greaterThan">
      <formula>0.6999</formula>
    </cfRule>
  </conditionalFormatting>
  <conditionalFormatting sqref="E29">
    <cfRule type="cellIs" dxfId="7" priority="8" operator="lessThan">
      <formula>0</formula>
    </cfRule>
  </conditionalFormatting>
  <conditionalFormatting sqref="E28">
    <cfRule type="cellIs" dxfId="6" priority="5" operator="greaterThan">
      <formula>0.6999</formula>
    </cfRule>
    <cfRule type="cellIs" dxfId="5" priority="6" operator="greaterThan">
      <formula>0.6999</formula>
    </cfRule>
    <cfRule type="cellIs" dxfId="4" priority="7" operator="greaterThan">
      <formula>0.6999</formula>
    </cfRule>
  </conditionalFormatting>
  <conditionalFormatting sqref="F28">
    <cfRule type="cellIs" dxfId="3" priority="2" operator="greaterThan">
      <formula>0.6999</formula>
    </cfRule>
    <cfRule type="cellIs" dxfId="2" priority="3" operator="greaterThan">
      <formula>0.6999</formula>
    </cfRule>
    <cfRule type="cellIs" dxfId="1" priority="4" operator="greaterThan">
      <formula>0.6999</formula>
    </cfRule>
  </conditionalFormatting>
  <conditionalFormatting sqref="D39:G39">
    <cfRule type="cellIs" dxfId="0" priority="1" operator="lessThan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Main</vt:lpstr>
      <vt:lpstr>EmailR</vt:lpstr>
      <vt:lpstr>BodyR</vt:lpstr>
      <vt:lpstr>EmailTH</vt:lpstr>
      <vt:lpstr>BodyTH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Asyrul Bin Mohd Nasir</dc:creator>
  <cp:lastModifiedBy>Muhammad Asyrul Bin Mohd Nasir</cp:lastModifiedBy>
  <dcterms:created xsi:type="dcterms:W3CDTF">2019-08-21T07:08:46Z</dcterms:created>
  <dcterms:modified xsi:type="dcterms:W3CDTF">2019-08-23T09:22:53Z</dcterms:modified>
</cp:coreProperties>
</file>